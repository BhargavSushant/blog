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les" sheetId="1" state="visible" r:id="rId3"/>
    <sheet name="Products" sheetId="2" state="visible" r:id="rId4"/>
    <sheet name="Customer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<sst xmlns="http://schemas.openxmlformats.org/spreadsheetml/2006/main" count="6462" uniqueCount="1269">
  <si>
    <t xml:space="preserve">OrderID</t>
  </si>
  <si>
    <t xml:space="preserve">OrderDate</t>
  </si>
  <si>
    <t xml:space="preserve">Region</t>
  </si>
  <si>
    <t xml:space="preserve">Product</t>
  </si>
  <si>
    <t xml:space="preserve">Salesperson</t>
  </si>
  <si>
    <t xml:space="preserve">Units</t>
  </si>
  <si>
    <t xml:space="preserve">MRP</t>
  </si>
  <si>
    <t xml:space="preserve">DiscountPct</t>
  </si>
  <si>
    <t xml:space="preserve">CustomerID</t>
  </si>
  <si>
    <t xml:space="preserve">Rating</t>
  </si>
  <si>
    <t xml:space="preserve">PaymentMode</t>
  </si>
  <si>
    <t xml:space="preserve">Category</t>
  </si>
  <si>
    <t xml:space="preserve">NetSales</t>
  </si>
  <si>
    <t xml:space="preserve">City</t>
  </si>
  <si>
    <t xml:space="preserve">Segment</t>
  </si>
  <si>
    <t xml:space="preserve">Month</t>
  </si>
  <si>
    <t xml:space="preserve">ORD1001</t>
  </si>
  <si>
    <t xml:space="preserve">North</t>
  </si>
  <si>
    <t xml:space="preserve">Wall Clock</t>
  </si>
  <si>
    <t xml:space="preserve">Aman Verma</t>
  </si>
  <si>
    <t xml:space="preserve">C036</t>
  </si>
  <si>
    <t xml:space="preserve">UPI</t>
  </si>
  <si>
    <t xml:space="preserve">ORD1002</t>
  </si>
  <si>
    <t xml:space="preserve">Central</t>
  </si>
  <si>
    <t xml:space="preserve">Vikas Joshi</t>
  </si>
  <si>
    <t xml:space="preserve">C055</t>
  </si>
  <si>
    <t xml:space="preserve">Card</t>
  </si>
  <si>
    <t xml:space="preserve">ORD1003</t>
  </si>
  <si>
    <t xml:space="preserve">Wireless Mouse</t>
  </si>
  <si>
    <t xml:space="preserve">Neha Tiwari</t>
  </si>
  <si>
    <t xml:space="preserve">C072</t>
  </si>
  <si>
    <t xml:space="preserve">ORD1004</t>
  </si>
  <si>
    <t xml:space="preserve">Water Bottle</t>
  </si>
  <si>
    <t xml:space="preserve">C098</t>
  </si>
  <si>
    <t xml:space="preserve">Cash</t>
  </si>
  <si>
    <t xml:space="preserve">ORD1005</t>
  </si>
  <si>
    <t xml:space="preserve">South</t>
  </si>
  <si>
    <t xml:space="preserve">USB Flash 64GB</t>
  </si>
  <si>
    <t xml:space="preserve">Kiran Rao</t>
  </si>
  <si>
    <t xml:space="preserve">C014</t>
  </si>
  <si>
    <t xml:space="preserve">ORD1006</t>
  </si>
  <si>
    <t xml:space="preserve">Earphones</t>
  </si>
  <si>
    <t xml:space="preserve">C094</t>
  </si>
  <si>
    <t xml:space="preserve">Net Banking</t>
  </si>
  <si>
    <t xml:space="preserve">ORD1007</t>
  </si>
  <si>
    <t xml:space="preserve">Gel Pen Pack</t>
  </si>
  <si>
    <t xml:space="preserve">C080</t>
  </si>
  <si>
    <t xml:space="preserve">ORD1008</t>
  </si>
  <si>
    <t xml:space="preserve">Photo Frame</t>
  </si>
  <si>
    <t xml:space="preserve">C030</t>
  </si>
  <si>
    <t xml:space="preserve">ORD1009</t>
  </si>
  <si>
    <t xml:space="preserve">West</t>
  </si>
  <si>
    <t xml:space="preserve">Rahul Mehta</t>
  </si>
  <si>
    <t xml:space="preserve">C082</t>
  </si>
  <si>
    <t xml:space="preserve">ORD1010</t>
  </si>
  <si>
    <t xml:space="preserve">C090</t>
  </si>
  <si>
    <t xml:space="preserve">ORD1011</t>
  </si>
  <si>
    <t xml:space="preserve">Laptop Sleeve</t>
  </si>
  <si>
    <t xml:space="preserve">C049</t>
  </si>
  <si>
    <t xml:space="preserve">ORD1012</t>
  </si>
  <si>
    <t xml:space="preserve">Notebook A5</t>
  </si>
  <si>
    <t xml:space="preserve">C052</t>
  </si>
  <si>
    <t xml:space="preserve">ORD1013</t>
  </si>
  <si>
    <t xml:space="preserve">C059</t>
  </si>
  <si>
    <t xml:space="preserve">ORD1014</t>
  </si>
  <si>
    <t xml:space="preserve">C096</t>
  </si>
  <si>
    <t xml:space="preserve">ORD1015</t>
  </si>
  <si>
    <t xml:space="preserve">C012</t>
  </si>
  <si>
    <t xml:space="preserve">ORD1016</t>
  </si>
  <si>
    <t xml:space="preserve">Meena Nair</t>
  </si>
  <si>
    <t xml:space="preserve">C077</t>
  </si>
  <si>
    <t xml:space="preserve">ORD1017</t>
  </si>
  <si>
    <t xml:space="preserve">East</t>
  </si>
  <si>
    <t xml:space="preserve">Tanya Ghosh</t>
  </si>
  <si>
    <t xml:space="preserve">C088</t>
  </si>
  <si>
    <t xml:space="preserve">ORD1018</t>
  </si>
  <si>
    <t xml:space="preserve">ORD1019</t>
  </si>
  <si>
    <t xml:space="preserve">C108</t>
  </si>
  <si>
    <t xml:space="preserve">ORD1020</t>
  </si>
  <si>
    <t xml:space="preserve">C118</t>
  </si>
  <si>
    <t xml:space="preserve">ORD1021</t>
  </si>
  <si>
    <t xml:space="preserve">C031</t>
  </si>
  <si>
    <t xml:space="preserve">ORD1022</t>
  </si>
  <si>
    <t xml:space="preserve">Pooja Shah</t>
  </si>
  <si>
    <t xml:space="preserve">C099</t>
  </si>
  <si>
    <t xml:space="preserve">ORD1023</t>
  </si>
  <si>
    <t xml:space="preserve">C028</t>
  </si>
  <si>
    <t xml:space="preserve">ORD1024</t>
  </si>
  <si>
    <t xml:space="preserve">Backpack</t>
  </si>
  <si>
    <t xml:space="preserve">Sourav Das</t>
  </si>
  <si>
    <t xml:space="preserve">C058</t>
  </si>
  <si>
    <t xml:space="preserve">ORD1025</t>
  </si>
  <si>
    <t xml:space="preserve">ORD1026</t>
  </si>
  <si>
    <t xml:space="preserve">Riya Singh</t>
  </si>
  <si>
    <t xml:space="preserve">C116</t>
  </si>
  <si>
    <t xml:space="preserve">ORD1027</t>
  </si>
  <si>
    <t xml:space="preserve">C063</t>
  </si>
  <si>
    <t xml:space="preserve">ORD1028</t>
  </si>
  <si>
    <t xml:space="preserve">C013</t>
  </si>
  <si>
    <t xml:space="preserve">ORD1029</t>
  </si>
  <si>
    <t xml:space="preserve">C007</t>
  </si>
  <si>
    <t xml:space="preserve">ORD1030</t>
  </si>
  <si>
    <t xml:space="preserve">C025</t>
  </si>
  <si>
    <t xml:space="preserve">ORD1031</t>
  </si>
  <si>
    <t xml:space="preserve">C032</t>
  </si>
  <si>
    <t xml:space="preserve">ORD1032</t>
  </si>
  <si>
    <t xml:space="preserve">C070</t>
  </si>
  <si>
    <t xml:space="preserve">ORD1033</t>
  </si>
  <si>
    <t xml:space="preserve">Desk Organizer</t>
  </si>
  <si>
    <t xml:space="preserve">ORD1034</t>
  </si>
  <si>
    <t xml:space="preserve">C119</t>
  </si>
  <si>
    <t xml:space="preserve">ORD1035</t>
  </si>
  <si>
    <t xml:space="preserve">ORD1036</t>
  </si>
  <si>
    <t xml:space="preserve">ORD1037</t>
  </si>
  <si>
    <t xml:space="preserve">C066</t>
  </si>
  <si>
    <t xml:space="preserve">ORD1038</t>
  </si>
  <si>
    <t xml:space="preserve">Study Lamp</t>
  </si>
  <si>
    <t xml:space="preserve">ORD1039</t>
  </si>
  <si>
    <t xml:space="preserve">C075</t>
  </si>
  <si>
    <t xml:space="preserve">ORD1040</t>
  </si>
  <si>
    <t xml:space="preserve">C051</t>
  </si>
  <si>
    <t xml:space="preserve">ORD1041</t>
  </si>
  <si>
    <t xml:space="preserve">ORD1042</t>
  </si>
  <si>
    <t xml:space="preserve">C017</t>
  </si>
  <si>
    <t xml:space="preserve">ORD1043</t>
  </si>
  <si>
    <t xml:space="preserve">C107</t>
  </si>
  <si>
    <t xml:space="preserve">ORD1044</t>
  </si>
  <si>
    <t xml:space="preserve">ORD1046</t>
  </si>
  <si>
    <t xml:space="preserve">C033</t>
  </si>
  <si>
    <t xml:space="preserve">ORD1047</t>
  </si>
  <si>
    <t xml:space="preserve">C001</t>
  </si>
  <si>
    <t xml:space="preserve">ORD1048</t>
  </si>
  <si>
    <t xml:space="preserve">ORD1049</t>
  </si>
  <si>
    <t xml:space="preserve">ORD1050</t>
  </si>
  <si>
    <t xml:space="preserve">ORD1051</t>
  </si>
  <si>
    <t xml:space="preserve">C046</t>
  </si>
  <si>
    <t xml:space="preserve">ORD1052</t>
  </si>
  <si>
    <t xml:space="preserve">C004</t>
  </si>
  <si>
    <t xml:space="preserve">ORD1053</t>
  </si>
  <si>
    <t xml:space="preserve">C101</t>
  </si>
  <si>
    <t xml:space="preserve">ORD1054</t>
  </si>
  <si>
    <t xml:space="preserve">C045</t>
  </si>
  <si>
    <t xml:space="preserve">ORD1055</t>
  </si>
  <si>
    <t xml:space="preserve">ORD1056</t>
  </si>
  <si>
    <t xml:space="preserve">ORD1057</t>
  </si>
  <si>
    <t xml:space="preserve">C005</t>
  </si>
  <si>
    <t xml:space="preserve">ORD1058</t>
  </si>
  <si>
    <t xml:space="preserve">ORD1059</t>
  </si>
  <si>
    <t xml:space="preserve">ORD1060</t>
  </si>
  <si>
    <t xml:space="preserve">ORD1061</t>
  </si>
  <si>
    <t xml:space="preserve">C042</t>
  </si>
  <si>
    <t xml:space="preserve">ORD1062</t>
  </si>
  <si>
    <t xml:space="preserve">C087</t>
  </si>
  <si>
    <t xml:space="preserve">ORD1063</t>
  </si>
  <si>
    <t xml:space="preserve">C037</t>
  </si>
  <si>
    <t xml:space="preserve">ORD1064</t>
  </si>
  <si>
    <t xml:space="preserve">ORD1065</t>
  </si>
  <si>
    <t xml:space="preserve">ORD1066</t>
  </si>
  <si>
    <t xml:space="preserve">C006</t>
  </si>
  <si>
    <t xml:space="preserve">ORD1067</t>
  </si>
  <si>
    <t xml:space="preserve">ORD1068</t>
  </si>
  <si>
    <t xml:space="preserve">C089</t>
  </si>
  <si>
    <t xml:space="preserve">ORD1069</t>
  </si>
  <si>
    <t xml:space="preserve">C060</t>
  </si>
  <si>
    <t xml:space="preserve">ORD1070</t>
  </si>
  <si>
    <t xml:space="preserve">C068</t>
  </si>
  <si>
    <t xml:space="preserve">ORD1071</t>
  </si>
  <si>
    <t xml:space="preserve">ORD1072</t>
  </si>
  <si>
    <t xml:space="preserve">ORD1073</t>
  </si>
  <si>
    <t xml:space="preserve">ORD1074</t>
  </si>
  <si>
    <t xml:space="preserve">ORD1075</t>
  </si>
  <si>
    <t xml:space="preserve">ORD1076</t>
  </si>
  <si>
    <t xml:space="preserve">C003</t>
  </si>
  <si>
    <t xml:space="preserve">ORD1077</t>
  </si>
  <si>
    <t xml:space="preserve">C110</t>
  </si>
  <si>
    <t xml:space="preserve">ORD1078</t>
  </si>
  <si>
    <t xml:space="preserve">ORD1079</t>
  </si>
  <si>
    <t xml:space="preserve">ORD1080</t>
  </si>
  <si>
    <t xml:space="preserve">C024</t>
  </si>
  <si>
    <t xml:space="preserve">ORD1081</t>
  </si>
  <si>
    <t xml:space="preserve">ORD1082</t>
  </si>
  <si>
    <t xml:space="preserve">ORD1083</t>
  </si>
  <si>
    <t xml:space="preserve">C097</t>
  </si>
  <si>
    <t xml:space="preserve">ORD1084</t>
  </si>
  <si>
    <t xml:space="preserve">ORD1085</t>
  </si>
  <si>
    <t xml:space="preserve">C078</t>
  </si>
  <si>
    <t xml:space="preserve">ORD1086</t>
  </si>
  <si>
    <t xml:space="preserve">ORD1087</t>
  </si>
  <si>
    <t xml:space="preserve">ORD1088</t>
  </si>
  <si>
    <t xml:space="preserve">C104</t>
  </si>
  <si>
    <t xml:space="preserve">ORD1089</t>
  </si>
  <si>
    <t xml:space="preserve">C009</t>
  </si>
  <si>
    <t xml:space="preserve">ORD1090</t>
  </si>
  <si>
    <t xml:space="preserve">C047</t>
  </si>
  <si>
    <t xml:space="preserve">ORD1091</t>
  </si>
  <si>
    <t xml:space="preserve">C035</t>
  </si>
  <si>
    <t xml:space="preserve">ORD1092</t>
  </si>
  <si>
    <t xml:space="preserve">ORD1093</t>
  </si>
  <si>
    <t xml:space="preserve">C079</t>
  </si>
  <si>
    <t xml:space="preserve">ORD1094</t>
  </si>
  <si>
    <t xml:space="preserve">ORD1095</t>
  </si>
  <si>
    <t xml:space="preserve">ORD1096</t>
  </si>
  <si>
    <t xml:space="preserve">ORD1097</t>
  </si>
  <si>
    <t xml:space="preserve">C029</t>
  </si>
  <si>
    <t xml:space="preserve">ORD1098</t>
  </si>
  <si>
    <t xml:space="preserve">C071</t>
  </si>
  <si>
    <t xml:space="preserve">ORD1099</t>
  </si>
  <si>
    <t xml:space="preserve">ORD1100</t>
  </si>
  <si>
    <t xml:space="preserve">ORD1101</t>
  </si>
  <si>
    <t xml:space="preserve">ORD1102</t>
  </si>
  <si>
    <t xml:space="preserve">C002</t>
  </si>
  <si>
    <t xml:space="preserve">ORD1103</t>
  </si>
  <si>
    <t xml:space="preserve">ORD1104</t>
  </si>
  <si>
    <t xml:space="preserve">C062</t>
  </si>
  <si>
    <t xml:space="preserve">ORD1105</t>
  </si>
  <si>
    <t xml:space="preserve">ORD1106</t>
  </si>
  <si>
    <t xml:space="preserve">ORD1107</t>
  </si>
  <si>
    <t xml:space="preserve">C039</t>
  </si>
  <si>
    <t xml:space="preserve">ORD1108</t>
  </si>
  <si>
    <t xml:space="preserve">C095</t>
  </si>
  <si>
    <t xml:space="preserve">ORD1109</t>
  </si>
  <si>
    <t xml:space="preserve">C023</t>
  </si>
  <si>
    <t xml:space="preserve">ORD1110</t>
  </si>
  <si>
    <t xml:space="preserve">C061</t>
  </si>
  <si>
    <t xml:space="preserve">ORD1111</t>
  </si>
  <si>
    <t xml:space="preserve">C010</t>
  </si>
  <si>
    <t xml:space="preserve">ORD1112</t>
  </si>
  <si>
    <t xml:space="preserve">C083</t>
  </si>
  <si>
    <t xml:space="preserve">ORD1113</t>
  </si>
  <si>
    <t xml:space="preserve">ORD1114</t>
  </si>
  <si>
    <t xml:space="preserve">ORD1115</t>
  </si>
  <si>
    <t xml:space="preserve">C114</t>
  </si>
  <si>
    <t xml:space="preserve">ORD1116</t>
  </si>
  <si>
    <t xml:space="preserve">ORD1117</t>
  </si>
  <si>
    <t xml:space="preserve">C067</t>
  </si>
  <si>
    <t xml:space="preserve">ORD1118</t>
  </si>
  <si>
    <t xml:space="preserve">ORD1119</t>
  </si>
  <si>
    <t xml:space="preserve">C053</t>
  </si>
  <si>
    <t xml:space="preserve">ORD1120</t>
  </si>
  <si>
    <t xml:space="preserve">C041</t>
  </si>
  <si>
    <t xml:space="preserve">ORD1121</t>
  </si>
  <si>
    <t xml:space="preserve">ORD1122</t>
  </si>
  <si>
    <t xml:space="preserve">ORD1123</t>
  </si>
  <si>
    <t xml:space="preserve">C016</t>
  </si>
  <si>
    <t xml:space="preserve">ORD1124</t>
  </si>
  <si>
    <t xml:space="preserve">ORD1125</t>
  </si>
  <si>
    <t xml:space="preserve">C038</t>
  </si>
  <si>
    <t xml:space="preserve">ORD1126</t>
  </si>
  <si>
    <t xml:space="preserve">ORD1127</t>
  </si>
  <si>
    <t xml:space="preserve">C120</t>
  </si>
  <si>
    <t xml:space="preserve">ORD1128</t>
  </si>
  <si>
    <t xml:space="preserve">C085</t>
  </si>
  <si>
    <t xml:space="preserve">ORD1129</t>
  </si>
  <si>
    <t xml:space="preserve">ORD1130</t>
  </si>
  <si>
    <t xml:space="preserve">C074</t>
  </si>
  <si>
    <t xml:space="preserve">ORD1132</t>
  </si>
  <si>
    <t xml:space="preserve">C043</t>
  </si>
  <si>
    <t xml:space="preserve">ORD1133</t>
  </si>
  <si>
    <t xml:space="preserve">C019</t>
  </si>
  <si>
    <t xml:space="preserve">ORD1134</t>
  </si>
  <si>
    <t xml:space="preserve">ORD1135</t>
  </si>
  <si>
    <t xml:space="preserve">C081</t>
  </si>
  <si>
    <t xml:space="preserve">ORD1136</t>
  </si>
  <si>
    <t xml:space="preserve">ORD1137</t>
  </si>
  <si>
    <t xml:space="preserve">C112</t>
  </si>
  <si>
    <t xml:space="preserve">ORD1138</t>
  </si>
  <si>
    <t xml:space="preserve">ORD1139</t>
  </si>
  <si>
    <t xml:space="preserve">ORD1140</t>
  </si>
  <si>
    <t xml:space="preserve">ORD1141</t>
  </si>
  <si>
    <t xml:space="preserve">C086</t>
  </si>
  <si>
    <t xml:space="preserve">ORD1142</t>
  </si>
  <si>
    <t xml:space="preserve">C057</t>
  </si>
  <si>
    <t xml:space="preserve">ORD1143</t>
  </si>
  <si>
    <t xml:space="preserve">C026</t>
  </si>
  <si>
    <t xml:space="preserve">ORD1144</t>
  </si>
  <si>
    <t xml:space="preserve">ORD1145</t>
  </si>
  <si>
    <t xml:space="preserve">C073</t>
  </si>
  <si>
    <t xml:space="preserve">ORD1146</t>
  </si>
  <si>
    <t xml:space="preserve">ORD1147</t>
  </si>
  <si>
    <t xml:space="preserve">ORD1148</t>
  </si>
  <si>
    <t xml:space="preserve">C117</t>
  </si>
  <si>
    <t xml:space="preserve">ORD1149</t>
  </si>
  <si>
    <t xml:space="preserve">ORD1150</t>
  </si>
  <si>
    <t xml:space="preserve">ORD1151</t>
  </si>
  <si>
    <t xml:space="preserve">C093</t>
  </si>
  <si>
    <t xml:space="preserve">ORD1152</t>
  </si>
  <si>
    <t xml:space="preserve">C069</t>
  </si>
  <si>
    <t xml:space="preserve">ORD1153</t>
  </si>
  <si>
    <t xml:space="preserve">ORD1154</t>
  </si>
  <si>
    <t xml:space="preserve">ORD1155</t>
  </si>
  <si>
    <t xml:space="preserve">ORD1156</t>
  </si>
  <si>
    <t xml:space="preserve">C018</t>
  </si>
  <si>
    <t xml:space="preserve">ORD1157</t>
  </si>
  <si>
    <t xml:space="preserve">ORD1159</t>
  </si>
  <si>
    <t xml:space="preserve">ORD1160</t>
  </si>
  <si>
    <t xml:space="preserve">ORD1161</t>
  </si>
  <si>
    <t xml:space="preserve">C027</t>
  </si>
  <si>
    <t xml:space="preserve">ORD1162</t>
  </si>
  <si>
    <t xml:space="preserve">ORD1163</t>
  </si>
  <si>
    <t xml:space="preserve">ORD1164</t>
  </si>
  <si>
    <t xml:space="preserve">ORD1165</t>
  </si>
  <si>
    <t xml:space="preserve">ORD1166</t>
  </si>
  <si>
    <t xml:space="preserve">C065</t>
  </si>
  <si>
    <t xml:space="preserve">ORD1167</t>
  </si>
  <si>
    <t xml:space="preserve">C109</t>
  </si>
  <si>
    <t xml:space="preserve">ORD1168</t>
  </si>
  <si>
    <t xml:space="preserve">ORD1169</t>
  </si>
  <si>
    <t xml:space="preserve">ORD1170</t>
  </si>
  <si>
    <t xml:space="preserve">ORD1171</t>
  </si>
  <si>
    <t xml:space="preserve">C044</t>
  </si>
  <si>
    <t xml:space="preserve">ORD1172</t>
  </si>
  <si>
    <t xml:space="preserve">ORD1173</t>
  </si>
  <si>
    <t xml:space="preserve">ORD1174</t>
  </si>
  <si>
    <t xml:space="preserve">C008</t>
  </si>
  <si>
    <t xml:space="preserve">ORD1175</t>
  </si>
  <si>
    <t xml:space="preserve">ORD1176</t>
  </si>
  <si>
    <t xml:space="preserve">ORD1177</t>
  </si>
  <si>
    <t xml:space="preserve">C048</t>
  </si>
  <si>
    <t xml:space="preserve">ORD1178</t>
  </si>
  <si>
    <t xml:space="preserve">ORD1179</t>
  </si>
  <si>
    <t xml:space="preserve">ORD1180</t>
  </si>
  <si>
    <t xml:space="preserve">ORD1181</t>
  </si>
  <si>
    <t xml:space="preserve">C054</t>
  </si>
  <si>
    <t xml:space="preserve">ORD1182</t>
  </si>
  <si>
    <t xml:space="preserve">C011</t>
  </si>
  <si>
    <t xml:space="preserve">ORD1183</t>
  </si>
  <si>
    <t xml:space="preserve">ORD1184</t>
  </si>
  <si>
    <t xml:space="preserve">ORD1185</t>
  </si>
  <si>
    <t xml:space="preserve">ORD1186</t>
  </si>
  <si>
    <t xml:space="preserve">ORD1187</t>
  </si>
  <si>
    <t xml:space="preserve">ORD1188</t>
  </si>
  <si>
    <t xml:space="preserve">ORD1189</t>
  </si>
  <si>
    <t xml:space="preserve">ORD1190</t>
  </si>
  <si>
    <t xml:space="preserve">ORD1191</t>
  </si>
  <si>
    <t xml:space="preserve">ORD1192</t>
  </si>
  <si>
    <t xml:space="preserve">C076</t>
  </si>
  <si>
    <t xml:space="preserve">ORD1193</t>
  </si>
  <si>
    <t xml:space="preserve">C100</t>
  </si>
  <si>
    <t xml:space="preserve">ORD1194</t>
  </si>
  <si>
    <t xml:space="preserve">ORD1195</t>
  </si>
  <si>
    <t xml:space="preserve">ORD1196</t>
  </si>
  <si>
    <t xml:space="preserve">ORD1198</t>
  </si>
  <si>
    <t xml:space="preserve">ORD1199</t>
  </si>
  <si>
    <t xml:space="preserve">ORD1200</t>
  </si>
  <si>
    <t xml:space="preserve">ORD1201</t>
  </si>
  <si>
    <t xml:space="preserve">ORD1202</t>
  </si>
  <si>
    <t xml:space="preserve">C091</t>
  </si>
  <si>
    <t xml:space="preserve">ORD1203</t>
  </si>
  <si>
    <t xml:space="preserve">ORD1204</t>
  </si>
  <si>
    <t xml:space="preserve">ORD1205</t>
  </si>
  <si>
    <t xml:space="preserve">ORD1206</t>
  </si>
  <si>
    <t xml:space="preserve">C040</t>
  </si>
  <si>
    <t xml:space="preserve">ORD1208</t>
  </si>
  <si>
    <t xml:space="preserve">ORD1209</t>
  </si>
  <si>
    <t xml:space="preserve">ORD1210</t>
  </si>
  <si>
    <t xml:space="preserve">ORD1211</t>
  </si>
  <si>
    <t xml:space="preserve">ORD1212</t>
  </si>
  <si>
    <t xml:space="preserve">ORD1213</t>
  </si>
  <si>
    <t xml:space="preserve">ORD1214</t>
  </si>
  <si>
    <t xml:space="preserve">C021</t>
  </si>
  <si>
    <t xml:space="preserve">ORD1215</t>
  </si>
  <si>
    <t xml:space="preserve">ORD1216</t>
  </si>
  <si>
    <t xml:space="preserve">ORD1217</t>
  </si>
  <si>
    <t xml:space="preserve">ORD1218</t>
  </si>
  <si>
    <t xml:space="preserve">ORD1219</t>
  </si>
  <si>
    <t xml:space="preserve">ORD1220</t>
  </si>
  <si>
    <t xml:space="preserve">ORD1221</t>
  </si>
  <si>
    <t xml:space="preserve">ORD1222</t>
  </si>
  <si>
    <t xml:space="preserve">ORD1223</t>
  </si>
  <si>
    <t xml:space="preserve">ORD1224</t>
  </si>
  <si>
    <t xml:space="preserve">ORD1225</t>
  </si>
  <si>
    <t xml:space="preserve">ORD1226</t>
  </si>
  <si>
    <t xml:space="preserve">ORD1227</t>
  </si>
  <si>
    <t xml:space="preserve">C105</t>
  </si>
  <si>
    <t xml:space="preserve">ORD1228</t>
  </si>
  <si>
    <t xml:space="preserve">C092</t>
  </si>
  <si>
    <t xml:space="preserve">ORD1229</t>
  </si>
  <si>
    <t xml:space="preserve">ORD1230</t>
  </si>
  <si>
    <t xml:space="preserve">ORD1231</t>
  </si>
  <si>
    <t xml:space="preserve">C103</t>
  </si>
  <si>
    <t xml:space="preserve">ORD1232</t>
  </si>
  <si>
    <t xml:space="preserve">ORD1233</t>
  </si>
  <si>
    <t xml:space="preserve">ORD1234</t>
  </si>
  <si>
    <t xml:space="preserve">ORD1235</t>
  </si>
  <si>
    <t xml:space="preserve">ORD1236</t>
  </si>
  <si>
    <t xml:space="preserve">ORD1237</t>
  </si>
  <si>
    <t xml:space="preserve">ORD1238</t>
  </si>
  <si>
    <t xml:space="preserve">ORD1239</t>
  </si>
  <si>
    <t xml:space="preserve">ORD1240</t>
  </si>
  <si>
    <t xml:space="preserve">ORD1241</t>
  </si>
  <si>
    <t xml:space="preserve">ORD1242</t>
  </si>
  <si>
    <t xml:space="preserve">ORD1243</t>
  </si>
  <si>
    <t xml:space="preserve">ORD1244</t>
  </si>
  <si>
    <t xml:space="preserve">ORD1245</t>
  </si>
  <si>
    <t xml:space="preserve">ORD1246</t>
  </si>
  <si>
    <t xml:space="preserve">ORD1247</t>
  </si>
  <si>
    <t xml:space="preserve">ORD1248</t>
  </si>
  <si>
    <t xml:space="preserve">C113</t>
  </si>
  <si>
    <t xml:space="preserve">ORD1249</t>
  </si>
  <si>
    <t xml:space="preserve">ORD1250</t>
  </si>
  <si>
    <t xml:space="preserve">C115</t>
  </si>
  <si>
    <t xml:space="preserve">ORD1251</t>
  </si>
  <si>
    <t xml:space="preserve">ORD1252</t>
  </si>
  <si>
    <t xml:space="preserve">ORD1253</t>
  </si>
  <si>
    <t xml:space="preserve">ORD1254</t>
  </si>
  <si>
    <t xml:space="preserve">ORD1255</t>
  </si>
  <si>
    <t xml:space="preserve">ORD1256</t>
  </si>
  <si>
    <t xml:space="preserve">ORD1257</t>
  </si>
  <si>
    <t xml:space="preserve">ORD1258</t>
  </si>
  <si>
    <t xml:space="preserve">ORD1259</t>
  </si>
  <si>
    <t xml:space="preserve">ORD1260</t>
  </si>
  <si>
    <t xml:space="preserve">C064</t>
  </si>
  <si>
    <t xml:space="preserve">ORD1261</t>
  </si>
  <si>
    <t xml:space="preserve">ORD1262</t>
  </si>
  <si>
    <t xml:space="preserve">ORD1263</t>
  </si>
  <si>
    <t xml:space="preserve">ORD1264</t>
  </si>
  <si>
    <t xml:space="preserve">N/A</t>
  </si>
  <si>
    <t xml:space="preserve">ORD1265</t>
  </si>
  <si>
    <t xml:space="preserve">ORD1266</t>
  </si>
  <si>
    <t xml:space="preserve">ORD1267</t>
  </si>
  <si>
    <t xml:space="preserve">ORD1268</t>
  </si>
  <si>
    <t xml:space="preserve">ORD1269</t>
  </si>
  <si>
    <t xml:space="preserve">ORD1270</t>
  </si>
  <si>
    <t xml:space="preserve">ORD1271</t>
  </si>
  <si>
    <t xml:space="preserve">ORD1272</t>
  </si>
  <si>
    <t xml:space="preserve">ORD1273</t>
  </si>
  <si>
    <t xml:space="preserve">C106</t>
  </si>
  <si>
    <t xml:space="preserve">ORD1274</t>
  </si>
  <si>
    <t xml:space="preserve">ORD1275</t>
  </si>
  <si>
    <t xml:space="preserve">ORD1276</t>
  </si>
  <si>
    <t xml:space="preserve">ORD1277</t>
  </si>
  <si>
    <t xml:space="preserve">ORD1278</t>
  </si>
  <si>
    <t xml:space="preserve">ORD1279</t>
  </si>
  <si>
    <t xml:space="preserve">ORD1280</t>
  </si>
  <si>
    <t xml:space="preserve">ORD1281</t>
  </si>
  <si>
    <t xml:space="preserve">ORD1282</t>
  </si>
  <si>
    <t xml:space="preserve">ORD1283</t>
  </si>
  <si>
    <t xml:space="preserve">ORD1284</t>
  </si>
  <si>
    <t xml:space="preserve">ORD1285</t>
  </si>
  <si>
    <t xml:space="preserve">ORD1286</t>
  </si>
  <si>
    <t xml:space="preserve">ORD1287</t>
  </si>
  <si>
    <t xml:space="preserve">ORD1288</t>
  </si>
  <si>
    <t xml:space="preserve">ORD1289</t>
  </si>
  <si>
    <t xml:space="preserve">ORD1290</t>
  </si>
  <si>
    <t xml:space="preserve">ORD1291</t>
  </si>
  <si>
    <t xml:space="preserve">ORD1292</t>
  </si>
  <si>
    <t xml:space="preserve">ORD1293</t>
  </si>
  <si>
    <t xml:space="preserve">C034</t>
  </si>
  <si>
    <t xml:space="preserve">ORD1294</t>
  </si>
  <si>
    <t xml:space="preserve">ORD1295</t>
  </si>
  <si>
    <t xml:space="preserve">ORD1296</t>
  </si>
  <si>
    <t xml:space="preserve">ORD1297</t>
  </si>
  <si>
    <t xml:space="preserve">ORD1298</t>
  </si>
  <si>
    <t xml:space="preserve">ORD1299</t>
  </si>
  <si>
    <t xml:space="preserve">ORD1300</t>
  </si>
  <si>
    <t xml:space="preserve">ORD1301</t>
  </si>
  <si>
    <t xml:space="preserve">ORD1302</t>
  </si>
  <si>
    <t xml:space="preserve">ORD1303</t>
  </si>
  <si>
    <t xml:space="preserve">ORD1304</t>
  </si>
  <si>
    <t xml:space="preserve">ORD1305</t>
  </si>
  <si>
    <t xml:space="preserve">ORD1306</t>
  </si>
  <si>
    <t xml:space="preserve">ORD1307</t>
  </si>
  <si>
    <t xml:space="preserve">ORD1308</t>
  </si>
  <si>
    <t xml:space="preserve">ORD1309</t>
  </si>
  <si>
    <t xml:space="preserve">ORD1310</t>
  </si>
  <si>
    <t xml:space="preserve">ORD1311</t>
  </si>
  <si>
    <t xml:space="preserve">ORD1312</t>
  </si>
  <si>
    <t xml:space="preserve">ORD1313</t>
  </si>
  <si>
    <t xml:space="preserve">ORD1314</t>
  </si>
  <si>
    <t xml:space="preserve">ORD1315</t>
  </si>
  <si>
    <t xml:space="preserve">ORD1316</t>
  </si>
  <si>
    <t xml:space="preserve">ORD1317</t>
  </si>
  <si>
    <t xml:space="preserve">ORD1318</t>
  </si>
  <si>
    <t xml:space="preserve">ORD1319</t>
  </si>
  <si>
    <t xml:space="preserve">ORD1320</t>
  </si>
  <si>
    <t xml:space="preserve">ORD1321</t>
  </si>
  <si>
    <t xml:space="preserve">ORD1322</t>
  </si>
  <si>
    <t xml:space="preserve">ORD1323</t>
  </si>
  <si>
    <t xml:space="preserve">ORD1324</t>
  </si>
  <si>
    <t xml:space="preserve">ORD1325</t>
  </si>
  <si>
    <t xml:space="preserve">ORD1326</t>
  </si>
  <si>
    <t xml:space="preserve">ORD1327</t>
  </si>
  <si>
    <t xml:space="preserve">ORD1328</t>
  </si>
  <si>
    <t xml:space="preserve">ORD1329</t>
  </si>
  <si>
    <t xml:space="preserve">ORD1330</t>
  </si>
  <si>
    <t xml:space="preserve">C020</t>
  </si>
  <si>
    <t xml:space="preserve">ORD1331</t>
  </si>
  <si>
    <t xml:space="preserve">ORD1332</t>
  </si>
  <si>
    <t xml:space="preserve">ORD1333</t>
  </si>
  <si>
    <t xml:space="preserve">C056</t>
  </si>
  <si>
    <t xml:space="preserve">ORD1334</t>
  </si>
  <si>
    <t xml:space="preserve">ORD1335</t>
  </si>
  <si>
    <t xml:space="preserve">ORD1336</t>
  </si>
  <si>
    <t xml:space="preserve">ORD1337</t>
  </si>
  <si>
    <t xml:space="preserve">ORD1338</t>
  </si>
  <si>
    <t xml:space="preserve">ORD1339</t>
  </si>
  <si>
    <t xml:space="preserve">ORD1340</t>
  </si>
  <si>
    <t xml:space="preserve">ORD1341</t>
  </si>
  <si>
    <t xml:space="preserve">ORD1342</t>
  </si>
  <si>
    <t xml:space="preserve">ORD1343</t>
  </si>
  <si>
    <t xml:space="preserve">ORD1344</t>
  </si>
  <si>
    <t xml:space="preserve">ORD1345</t>
  </si>
  <si>
    <t xml:space="preserve">ORD1346</t>
  </si>
  <si>
    <t xml:space="preserve">ORD1347</t>
  </si>
  <si>
    <t xml:space="preserve">ORD1348</t>
  </si>
  <si>
    <t xml:space="preserve">ORD1349</t>
  </si>
  <si>
    <t xml:space="preserve">ORD1350</t>
  </si>
  <si>
    <t xml:space="preserve">ORD1351</t>
  </si>
  <si>
    <t xml:space="preserve">ORD1352</t>
  </si>
  <si>
    <t xml:space="preserve">ORD1353</t>
  </si>
  <si>
    <t xml:space="preserve">ORD1354</t>
  </si>
  <si>
    <t xml:space="preserve">ORD1355</t>
  </si>
  <si>
    <t xml:space="preserve">ORD1356</t>
  </si>
  <si>
    <t xml:space="preserve">ORD1357</t>
  </si>
  <si>
    <t xml:space="preserve">ORD1358</t>
  </si>
  <si>
    <t xml:space="preserve">ORD1359</t>
  </si>
  <si>
    <t xml:space="preserve">ORD1360</t>
  </si>
  <si>
    <t xml:space="preserve">ORD1361</t>
  </si>
  <si>
    <t xml:space="preserve">ORD1362</t>
  </si>
  <si>
    <t xml:space="preserve">ORD1363</t>
  </si>
  <si>
    <t xml:space="preserve">ORD1364</t>
  </si>
  <si>
    <t xml:space="preserve">ORD1365</t>
  </si>
  <si>
    <t xml:space="preserve">ORD1366</t>
  </si>
  <si>
    <t xml:space="preserve">ORD1367</t>
  </si>
  <si>
    <t xml:space="preserve">ORD1368</t>
  </si>
  <si>
    <t xml:space="preserve">ORD1369</t>
  </si>
  <si>
    <t xml:space="preserve">ORD1370</t>
  </si>
  <si>
    <t xml:space="preserve">ORD1371</t>
  </si>
  <si>
    <t xml:space="preserve">ORD1372</t>
  </si>
  <si>
    <t xml:space="preserve">ORD1373</t>
  </si>
  <si>
    <t xml:space="preserve">ORD1374</t>
  </si>
  <si>
    <t xml:space="preserve">ORD1375</t>
  </si>
  <si>
    <t xml:space="preserve">ORD1376</t>
  </si>
  <si>
    <t xml:space="preserve">ORD1377</t>
  </si>
  <si>
    <t xml:space="preserve">C015</t>
  </si>
  <si>
    <t xml:space="preserve">ORD1378</t>
  </si>
  <si>
    <t xml:space="preserve">C050</t>
  </si>
  <si>
    <t xml:space="preserve">ORD1379</t>
  </si>
  <si>
    <t xml:space="preserve">ORD1380</t>
  </si>
  <si>
    <t xml:space="preserve">ORD1381</t>
  </si>
  <si>
    <t xml:space="preserve">ORD1382</t>
  </si>
  <si>
    <t xml:space="preserve">ORD1383</t>
  </si>
  <si>
    <t xml:space="preserve">ORD1384</t>
  </si>
  <si>
    <t xml:space="preserve">ORD1385</t>
  </si>
  <si>
    <t xml:space="preserve">ORD1386</t>
  </si>
  <si>
    <t xml:space="preserve">ORD1387</t>
  </si>
  <si>
    <t xml:space="preserve">ORD1388</t>
  </si>
  <si>
    <t xml:space="preserve">ORD1389</t>
  </si>
  <si>
    <t xml:space="preserve">C111</t>
  </si>
  <si>
    <t xml:space="preserve">ORD1390</t>
  </si>
  <si>
    <t xml:space="preserve">ORD1391</t>
  </si>
  <si>
    <t xml:space="preserve">C102</t>
  </si>
  <si>
    <t xml:space="preserve">ORD1392</t>
  </si>
  <si>
    <t xml:space="preserve">ORD1393</t>
  </si>
  <si>
    <t xml:space="preserve">ORD1394</t>
  </si>
  <si>
    <t xml:space="preserve">ORD1395</t>
  </si>
  <si>
    <t xml:space="preserve">ORD1396</t>
  </si>
  <si>
    <t xml:space="preserve">ORD1397</t>
  </si>
  <si>
    <t xml:space="preserve">ORD1398</t>
  </si>
  <si>
    <t xml:space="preserve">ORD1399</t>
  </si>
  <si>
    <t xml:space="preserve">ORD1400</t>
  </si>
  <si>
    <t xml:space="preserve">ORD1401</t>
  </si>
  <si>
    <t xml:space="preserve">ORD1402</t>
  </si>
  <si>
    <t xml:space="preserve">ORD1403</t>
  </si>
  <si>
    <t xml:space="preserve">ORD1404</t>
  </si>
  <si>
    <t xml:space="preserve">ORD1405</t>
  </si>
  <si>
    <t xml:space="preserve">ORD1406</t>
  </si>
  <si>
    <t xml:space="preserve">ORD1407</t>
  </si>
  <si>
    <t xml:space="preserve">ORD1408</t>
  </si>
  <si>
    <t xml:space="preserve">ORD1409</t>
  </si>
  <si>
    <t xml:space="preserve">ORD1410</t>
  </si>
  <si>
    <t xml:space="preserve">ORD1411</t>
  </si>
  <si>
    <t xml:space="preserve">ORD1412</t>
  </si>
  <si>
    <t xml:space="preserve">ORD1413</t>
  </si>
  <si>
    <t xml:space="preserve">ORD1414</t>
  </si>
  <si>
    <t xml:space="preserve">ORD1415</t>
  </si>
  <si>
    <t xml:space="preserve">ORD1416</t>
  </si>
  <si>
    <t xml:space="preserve">ORD1417</t>
  </si>
  <si>
    <t xml:space="preserve">ORD1418</t>
  </si>
  <si>
    <t xml:space="preserve">ORD1419</t>
  </si>
  <si>
    <t xml:space="preserve">ORD1420</t>
  </si>
  <si>
    <t xml:space="preserve">ORD1421</t>
  </si>
  <si>
    <t xml:space="preserve">ORD1422</t>
  </si>
  <si>
    <t xml:space="preserve">ORD1423</t>
  </si>
  <si>
    <t xml:space="preserve">ORD1424</t>
  </si>
  <si>
    <t xml:space="preserve">ORD1425</t>
  </si>
  <si>
    <t xml:space="preserve">ORD1426</t>
  </si>
  <si>
    <t xml:space="preserve">ORD1427</t>
  </si>
  <si>
    <t xml:space="preserve">ORD1428</t>
  </si>
  <si>
    <t xml:space="preserve">ORD1430</t>
  </si>
  <si>
    <t xml:space="preserve">ORD1431</t>
  </si>
  <si>
    <t xml:space="preserve">ORD1432</t>
  </si>
  <si>
    <t xml:space="preserve">ORD1433</t>
  </si>
  <si>
    <t xml:space="preserve">ORD1434</t>
  </si>
  <si>
    <t xml:space="preserve">ORD1435</t>
  </si>
  <si>
    <t xml:space="preserve">ORD1436</t>
  </si>
  <si>
    <t xml:space="preserve">ORD1437</t>
  </si>
  <si>
    <t xml:space="preserve">ORD1438</t>
  </si>
  <si>
    <t xml:space="preserve">ORD1439</t>
  </si>
  <si>
    <t xml:space="preserve">ORD1440</t>
  </si>
  <si>
    <t xml:space="preserve">ORD1441</t>
  </si>
  <si>
    <t xml:space="preserve">ORD1442</t>
  </si>
  <si>
    <t xml:space="preserve">ORD1443</t>
  </si>
  <si>
    <t xml:space="preserve">ORD1444</t>
  </si>
  <si>
    <t xml:space="preserve">ORD1445</t>
  </si>
  <si>
    <t xml:space="preserve">ORD1446</t>
  </si>
  <si>
    <t xml:space="preserve">ORD1447</t>
  </si>
  <si>
    <t xml:space="preserve">ORD1448</t>
  </si>
  <si>
    <t xml:space="preserve">ORD1449</t>
  </si>
  <si>
    <t xml:space="preserve">ORD1450</t>
  </si>
  <si>
    <t xml:space="preserve">ORD1451</t>
  </si>
  <si>
    <t xml:space="preserve">ORD1452</t>
  </si>
  <si>
    <t xml:space="preserve">ORD1453</t>
  </si>
  <si>
    <t xml:space="preserve">ORD1454</t>
  </si>
  <si>
    <t xml:space="preserve">ORD1455</t>
  </si>
  <si>
    <t xml:space="preserve">ORD1456</t>
  </si>
  <si>
    <t xml:space="preserve">ORD1457</t>
  </si>
  <si>
    <t xml:space="preserve">ORD1458</t>
  </si>
  <si>
    <t xml:space="preserve">ORD1459</t>
  </si>
  <si>
    <t xml:space="preserve">ORD1460</t>
  </si>
  <si>
    <t xml:space="preserve">ORD1461</t>
  </si>
  <si>
    <t xml:space="preserve">ORD1462</t>
  </si>
  <si>
    <t xml:space="preserve">ORD1463</t>
  </si>
  <si>
    <t xml:space="preserve">ORD1464</t>
  </si>
  <si>
    <t xml:space="preserve">ORD1465</t>
  </si>
  <si>
    <t xml:space="preserve">ORD1466</t>
  </si>
  <si>
    <t xml:space="preserve">ORD1467</t>
  </si>
  <si>
    <t xml:space="preserve">ORD1468</t>
  </si>
  <si>
    <t xml:space="preserve">ORD1469</t>
  </si>
  <si>
    <t xml:space="preserve">ORD1470</t>
  </si>
  <si>
    <t xml:space="preserve">ORD1471</t>
  </si>
  <si>
    <t xml:space="preserve">ORD1472</t>
  </si>
  <si>
    <t xml:space="preserve">ORD1473</t>
  </si>
  <si>
    <t xml:space="preserve">ORD1474</t>
  </si>
  <si>
    <t xml:space="preserve">ORD1475</t>
  </si>
  <si>
    <t xml:space="preserve">ORD1476</t>
  </si>
  <si>
    <t xml:space="preserve">ORD1477</t>
  </si>
  <si>
    <t xml:space="preserve">ORD1478</t>
  </si>
  <si>
    <t xml:space="preserve">ORD1479</t>
  </si>
  <si>
    <t xml:space="preserve">ORD1480</t>
  </si>
  <si>
    <t xml:space="preserve">ORD1481</t>
  </si>
  <si>
    <t xml:space="preserve">ORD1482</t>
  </si>
  <si>
    <t xml:space="preserve">ORD1483</t>
  </si>
  <si>
    <t xml:space="preserve">ORD1484</t>
  </si>
  <si>
    <t xml:space="preserve">ORD1485</t>
  </si>
  <si>
    <t xml:space="preserve">ORD1487</t>
  </si>
  <si>
    <t xml:space="preserve">ORD1488</t>
  </si>
  <si>
    <t xml:space="preserve">ORD1489</t>
  </si>
  <si>
    <t xml:space="preserve">ORD1490</t>
  </si>
  <si>
    <t xml:space="preserve">ORD1491</t>
  </si>
  <si>
    <t xml:space="preserve">ORD1492</t>
  </si>
  <si>
    <t xml:space="preserve">ORD1493</t>
  </si>
  <si>
    <t xml:space="preserve">ORD1494</t>
  </si>
  <si>
    <t xml:space="preserve">ORD1495</t>
  </si>
  <si>
    <t xml:space="preserve">ORD1496</t>
  </si>
  <si>
    <t xml:space="preserve">ORD1497</t>
  </si>
  <si>
    <t xml:space="preserve">ORD1498</t>
  </si>
  <si>
    <t xml:space="preserve">ORD1499</t>
  </si>
  <si>
    <t xml:space="preserve">ORD1500</t>
  </si>
  <si>
    <t xml:space="preserve">ORD1501</t>
  </si>
  <si>
    <t xml:space="preserve">ORD1502</t>
  </si>
  <si>
    <t xml:space="preserve">ORD1503</t>
  </si>
  <si>
    <t xml:space="preserve">ORD1504</t>
  </si>
  <si>
    <t xml:space="preserve">ORD1505</t>
  </si>
  <si>
    <t xml:space="preserve">ORD1506</t>
  </si>
  <si>
    <t xml:space="preserve">ORD1507</t>
  </si>
  <si>
    <t xml:space="preserve">ORD1508</t>
  </si>
  <si>
    <t xml:space="preserve">ORD1509</t>
  </si>
  <si>
    <t xml:space="preserve">ORD1510</t>
  </si>
  <si>
    <t xml:space="preserve">ORD1511</t>
  </si>
  <si>
    <t xml:space="preserve">ORD1512</t>
  </si>
  <si>
    <t xml:space="preserve">ORD1513</t>
  </si>
  <si>
    <t xml:space="preserve">ORD1514</t>
  </si>
  <si>
    <t xml:space="preserve">ORD1515</t>
  </si>
  <si>
    <t xml:space="preserve">ORD1516</t>
  </si>
  <si>
    <t xml:space="preserve">ORD1517</t>
  </si>
  <si>
    <t xml:space="preserve">ORD1518</t>
  </si>
  <si>
    <t xml:space="preserve">ORD1519</t>
  </si>
  <si>
    <t xml:space="preserve">ORD1520</t>
  </si>
  <si>
    <t xml:space="preserve">ORD1521</t>
  </si>
  <si>
    <t xml:space="preserve">ORD1522</t>
  </si>
  <si>
    <t xml:space="preserve">ORD1523</t>
  </si>
  <si>
    <t xml:space="preserve">ORD1524</t>
  </si>
  <si>
    <t xml:space="preserve">ORD1525</t>
  </si>
  <si>
    <t xml:space="preserve">C084</t>
  </si>
  <si>
    <t xml:space="preserve">ORD1526</t>
  </si>
  <si>
    <t xml:space="preserve">ORD1527</t>
  </si>
  <si>
    <t xml:space="preserve">ORD1528</t>
  </si>
  <si>
    <t xml:space="preserve">ORD1529</t>
  </si>
  <si>
    <t xml:space="preserve">ORD1530</t>
  </si>
  <si>
    <t xml:space="preserve">ORD1531</t>
  </si>
  <si>
    <t xml:space="preserve">ORD1532</t>
  </si>
  <si>
    <t xml:space="preserve">ORD1533</t>
  </si>
  <si>
    <t xml:space="preserve">ORD1534</t>
  </si>
  <si>
    <t xml:space="preserve">ORD1535</t>
  </si>
  <si>
    <t xml:space="preserve">C022</t>
  </si>
  <si>
    <t xml:space="preserve">ORD1536</t>
  </si>
  <si>
    <t xml:space="preserve">ORD1537</t>
  </si>
  <si>
    <t xml:space="preserve">ORD1538</t>
  </si>
  <si>
    <t xml:space="preserve">ORD1539</t>
  </si>
  <si>
    <t xml:space="preserve">ORD1540</t>
  </si>
  <si>
    <t xml:space="preserve">ORD1541</t>
  </si>
  <si>
    <t xml:space="preserve">ORD1542</t>
  </si>
  <si>
    <t xml:space="preserve">ORD1543</t>
  </si>
  <si>
    <t xml:space="preserve">ORD1544</t>
  </si>
  <si>
    <t xml:space="preserve">ORD1545</t>
  </si>
  <si>
    <t xml:space="preserve">ORD1546</t>
  </si>
  <si>
    <t xml:space="preserve">ORD1548</t>
  </si>
  <si>
    <t xml:space="preserve">ORD1549</t>
  </si>
  <si>
    <t xml:space="preserve">ORD1550</t>
  </si>
  <si>
    <t xml:space="preserve">ORD1551</t>
  </si>
  <si>
    <t xml:space="preserve">ORD1552</t>
  </si>
  <si>
    <t xml:space="preserve">ORD1553</t>
  </si>
  <si>
    <t xml:space="preserve">ORD1554</t>
  </si>
  <si>
    <t xml:space="preserve">ORD1555</t>
  </si>
  <si>
    <t xml:space="preserve">ORD1556</t>
  </si>
  <si>
    <t xml:space="preserve">ORD1557</t>
  </si>
  <si>
    <t xml:space="preserve">ORD1558</t>
  </si>
  <si>
    <t xml:space="preserve">ORD1559</t>
  </si>
  <si>
    <t xml:space="preserve">ORD1560</t>
  </si>
  <si>
    <t xml:space="preserve">ORD1561</t>
  </si>
  <si>
    <t xml:space="preserve">ORD1562</t>
  </si>
  <si>
    <t xml:space="preserve">ORD1563</t>
  </si>
  <si>
    <t xml:space="preserve">ORD1565</t>
  </si>
  <si>
    <t xml:space="preserve">ORD1566</t>
  </si>
  <si>
    <t xml:space="preserve">ORD1567</t>
  </si>
  <si>
    <t xml:space="preserve">ORD1568</t>
  </si>
  <si>
    <t xml:space="preserve">ORD1569</t>
  </si>
  <si>
    <t xml:space="preserve">ORD1570</t>
  </si>
  <si>
    <t xml:space="preserve">ORD1571</t>
  </si>
  <si>
    <t xml:space="preserve">ORD1572</t>
  </si>
  <si>
    <t xml:space="preserve">ORD1573</t>
  </si>
  <si>
    <t xml:space="preserve">ORD1574</t>
  </si>
  <si>
    <t xml:space="preserve">ORD1575</t>
  </si>
  <si>
    <t xml:space="preserve">ORD1576</t>
  </si>
  <si>
    <t xml:space="preserve">ORD1577</t>
  </si>
  <si>
    <t xml:space="preserve">ORD1578</t>
  </si>
  <si>
    <t xml:space="preserve">ORD1579</t>
  </si>
  <si>
    <t xml:space="preserve">ORD1580</t>
  </si>
  <si>
    <t xml:space="preserve">ORD1581</t>
  </si>
  <si>
    <t xml:space="preserve">ORD1582</t>
  </si>
  <si>
    <t xml:space="preserve">ORD1583</t>
  </si>
  <si>
    <t xml:space="preserve">ORD1584</t>
  </si>
  <si>
    <t xml:space="preserve">ORD1585</t>
  </si>
  <si>
    <t xml:space="preserve">ORD1586</t>
  </si>
  <si>
    <t xml:space="preserve">ORD1587</t>
  </si>
  <si>
    <t xml:space="preserve">ORD1588</t>
  </si>
  <si>
    <t xml:space="preserve">ORD1589</t>
  </si>
  <si>
    <t xml:space="preserve">ORD1590</t>
  </si>
  <si>
    <t xml:space="preserve">ORD1591</t>
  </si>
  <si>
    <t xml:space="preserve">ORD1592</t>
  </si>
  <si>
    <t xml:space="preserve">ORD1593</t>
  </si>
  <si>
    <t xml:space="preserve">ORD1594</t>
  </si>
  <si>
    <t xml:space="preserve">ORD1595</t>
  </si>
  <si>
    <t xml:space="preserve">ORD1596</t>
  </si>
  <si>
    <t xml:space="preserve">ORD1597</t>
  </si>
  <si>
    <t xml:space="preserve">ORD1598</t>
  </si>
  <si>
    <t xml:space="preserve">ORD1599</t>
  </si>
  <si>
    <t xml:space="preserve">ORD1600</t>
  </si>
  <si>
    <t xml:space="preserve">ORD1601</t>
  </si>
  <si>
    <t xml:space="preserve">ORD1602</t>
  </si>
  <si>
    <t xml:space="preserve">ORD1603</t>
  </si>
  <si>
    <t xml:space="preserve">ORD1604</t>
  </si>
  <si>
    <t xml:space="preserve">ORD1605</t>
  </si>
  <si>
    <t xml:space="preserve">ORD1606</t>
  </si>
  <si>
    <t xml:space="preserve">ORD1607</t>
  </si>
  <si>
    <t xml:space="preserve">ORD1608</t>
  </si>
  <si>
    <t xml:space="preserve">ORD1609</t>
  </si>
  <si>
    <t xml:space="preserve">ORD1610</t>
  </si>
  <si>
    <t xml:space="preserve">ORD1611</t>
  </si>
  <si>
    <t xml:space="preserve">ORD1612</t>
  </si>
  <si>
    <t xml:space="preserve">ORD1613</t>
  </si>
  <si>
    <t xml:space="preserve">ORD1614</t>
  </si>
  <si>
    <t xml:space="preserve">ORD1615</t>
  </si>
  <si>
    <t xml:space="preserve">ORD1616</t>
  </si>
  <si>
    <t xml:space="preserve">ORD1617</t>
  </si>
  <si>
    <t xml:space="preserve">ORD1618</t>
  </si>
  <si>
    <t xml:space="preserve">ORD1619</t>
  </si>
  <si>
    <t xml:space="preserve">ORD1620</t>
  </si>
  <si>
    <t xml:space="preserve">ORD1621</t>
  </si>
  <si>
    <t xml:space="preserve">ORD1622</t>
  </si>
  <si>
    <t xml:space="preserve">ORD1623</t>
  </si>
  <si>
    <t xml:space="preserve">ORD1624</t>
  </si>
  <si>
    <t xml:space="preserve">ORD1625</t>
  </si>
  <si>
    <t xml:space="preserve">ORD1626</t>
  </si>
  <si>
    <t xml:space="preserve">ORD1627</t>
  </si>
  <si>
    <t xml:space="preserve">ORD1628</t>
  </si>
  <si>
    <t xml:space="preserve">ORD1629</t>
  </si>
  <si>
    <t xml:space="preserve">ORD1630</t>
  </si>
  <si>
    <t xml:space="preserve">ORD1631</t>
  </si>
  <si>
    <t xml:space="preserve">ORD1632</t>
  </si>
  <si>
    <t xml:space="preserve">ORD1633</t>
  </si>
  <si>
    <t xml:space="preserve">ORD1634</t>
  </si>
  <si>
    <t xml:space="preserve">ORD1635</t>
  </si>
  <si>
    <t xml:space="preserve">ORD1636</t>
  </si>
  <si>
    <t xml:space="preserve">ORD1637</t>
  </si>
  <si>
    <t xml:space="preserve">ORD1638</t>
  </si>
  <si>
    <t xml:space="preserve">ORD1639</t>
  </si>
  <si>
    <t xml:space="preserve">ORD1640</t>
  </si>
  <si>
    <t xml:space="preserve">ORD1641</t>
  </si>
  <si>
    <t xml:space="preserve">ORD1642</t>
  </si>
  <si>
    <t xml:space="preserve">ORD1643</t>
  </si>
  <si>
    <t xml:space="preserve">ORD1644</t>
  </si>
  <si>
    <t xml:space="preserve">ORD1645</t>
  </si>
  <si>
    <t xml:space="preserve">ORD1646</t>
  </si>
  <si>
    <t xml:space="preserve">ORD1647</t>
  </si>
  <si>
    <t xml:space="preserve">ORD1648</t>
  </si>
  <si>
    <t xml:space="preserve">ORD1649</t>
  </si>
  <si>
    <t xml:space="preserve">ORD1650</t>
  </si>
  <si>
    <t xml:space="preserve">ORD1651</t>
  </si>
  <si>
    <t xml:space="preserve">ORD1652</t>
  </si>
  <si>
    <t xml:space="preserve">ORD1653</t>
  </si>
  <si>
    <t xml:space="preserve">ORD1654</t>
  </si>
  <si>
    <t xml:space="preserve">ORD1655</t>
  </si>
  <si>
    <t xml:space="preserve">ORD1656</t>
  </si>
  <si>
    <t xml:space="preserve">ORD1657</t>
  </si>
  <si>
    <t xml:space="preserve">ORD1658</t>
  </si>
  <si>
    <t xml:space="preserve">ORD1659</t>
  </si>
  <si>
    <t xml:space="preserve">ORD1660</t>
  </si>
  <si>
    <t xml:space="preserve">ORD1661</t>
  </si>
  <si>
    <t xml:space="preserve">ORD1662</t>
  </si>
  <si>
    <t xml:space="preserve">ORD1663</t>
  </si>
  <si>
    <t xml:space="preserve">ORD1664</t>
  </si>
  <si>
    <t xml:space="preserve">ORD1665</t>
  </si>
  <si>
    <t xml:space="preserve">ORD1666</t>
  </si>
  <si>
    <t xml:space="preserve">ORD1667</t>
  </si>
  <si>
    <t xml:space="preserve">ORD1668</t>
  </si>
  <si>
    <t xml:space="preserve">ORD1669</t>
  </si>
  <si>
    <t xml:space="preserve">ORD1670</t>
  </si>
  <si>
    <t xml:space="preserve">ORD1671</t>
  </si>
  <si>
    <t xml:space="preserve">ORD1672</t>
  </si>
  <si>
    <t xml:space="preserve">ORD1673</t>
  </si>
  <si>
    <t xml:space="preserve">ORD1674</t>
  </si>
  <si>
    <t xml:space="preserve">ORD1675</t>
  </si>
  <si>
    <t xml:space="preserve">ORD1676</t>
  </si>
  <si>
    <t xml:space="preserve">ORD1677</t>
  </si>
  <si>
    <t xml:space="preserve">ORD1678</t>
  </si>
  <si>
    <t xml:space="preserve">ORD1679</t>
  </si>
  <si>
    <t xml:space="preserve">ORD1680</t>
  </si>
  <si>
    <t xml:space="preserve">ORD1681</t>
  </si>
  <si>
    <t xml:space="preserve">ORD1682</t>
  </si>
  <si>
    <t xml:space="preserve">ORD1683</t>
  </si>
  <si>
    <t xml:space="preserve">ORD1684</t>
  </si>
  <si>
    <t xml:space="preserve">ORD1685</t>
  </si>
  <si>
    <t xml:space="preserve">ORD1686</t>
  </si>
  <si>
    <t xml:space="preserve">ORD1687</t>
  </si>
  <si>
    <t xml:space="preserve">ORD1688</t>
  </si>
  <si>
    <t xml:space="preserve">ORD1689</t>
  </si>
  <si>
    <t xml:space="preserve">ORD1690</t>
  </si>
  <si>
    <t xml:space="preserve">ORD1691</t>
  </si>
  <si>
    <t xml:space="preserve">ORD1692</t>
  </si>
  <si>
    <t xml:space="preserve">ORD1693</t>
  </si>
  <si>
    <t xml:space="preserve">ORD1694</t>
  </si>
  <si>
    <t xml:space="preserve">ORD1695</t>
  </si>
  <si>
    <t xml:space="preserve">ORD1696</t>
  </si>
  <si>
    <t xml:space="preserve">ORD1697</t>
  </si>
  <si>
    <t xml:space="preserve">ORD1698</t>
  </si>
  <si>
    <t xml:space="preserve">ORD1699</t>
  </si>
  <si>
    <t xml:space="preserve">ORD1700</t>
  </si>
  <si>
    <t xml:space="preserve">ORD1701</t>
  </si>
  <si>
    <t xml:space="preserve">ORD1702</t>
  </si>
  <si>
    <t xml:space="preserve">ORD1703</t>
  </si>
  <si>
    <t xml:space="preserve">ORD1704</t>
  </si>
  <si>
    <t xml:space="preserve">ORD1705</t>
  </si>
  <si>
    <t xml:space="preserve">ORD1706</t>
  </si>
  <si>
    <t xml:space="preserve">ORD1707</t>
  </si>
  <si>
    <t xml:space="preserve">ORD1708</t>
  </si>
  <si>
    <t xml:space="preserve">ORD1709</t>
  </si>
  <si>
    <t xml:space="preserve">ORD1710</t>
  </si>
  <si>
    <t xml:space="preserve">ORD1711</t>
  </si>
  <si>
    <t xml:space="preserve">ORD1712</t>
  </si>
  <si>
    <t xml:space="preserve">ORD1713</t>
  </si>
  <si>
    <t xml:space="preserve">ORD1714</t>
  </si>
  <si>
    <t xml:space="preserve">ORD1715</t>
  </si>
  <si>
    <t xml:space="preserve">ORD1716</t>
  </si>
  <si>
    <t xml:space="preserve">ORD1717</t>
  </si>
  <si>
    <t xml:space="preserve">ORD1718</t>
  </si>
  <si>
    <t xml:space="preserve">ORD1719</t>
  </si>
  <si>
    <t xml:space="preserve">ORD1720</t>
  </si>
  <si>
    <t xml:space="preserve">ORD1721</t>
  </si>
  <si>
    <t xml:space="preserve">ORD1722</t>
  </si>
  <si>
    <t xml:space="preserve">ORD1723</t>
  </si>
  <si>
    <t xml:space="preserve">ORD1724</t>
  </si>
  <si>
    <t xml:space="preserve">ORD1725</t>
  </si>
  <si>
    <t xml:space="preserve">ORD1726</t>
  </si>
  <si>
    <t xml:space="preserve">ORD1727</t>
  </si>
  <si>
    <t xml:space="preserve">ORD1728</t>
  </si>
  <si>
    <t xml:space="preserve">ORD1730</t>
  </si>
  <si>
    <t xml:space="preserve">ORD1731</t>
  </si>
  <si>
    <t xml:space="preserve">ORD1732</t>
  </si>
  <si>
    <t xml:space="preserve">ORD1733</t>
  </si>
  <si>
    <t xml:space="preserve">ORD1734</t>
  </si>
  <si>
    <t xml:space="preserve">ORD1735</t>
  </si>
  <si>
    <t xml:space="preserve">ORD1736</t>
  </si>
  <si>
    <t xml:space="preserve">ORD1737</t>
  </si>
  <si>
    <t xml:space="preserve">ORD1738</t>
  </si>
  <si>
    <t xml:space="preserve">ORD1740</t>
  </si>
  <si>
    <t xml:space="preserve">ORD1741</t>
  </si>
  <si>
    <t xml:space="preserve">ORD1742</t>
  </si>
  <si>
    <t xml:space="preserve">ORD1743</t>
  </si>
  <si>
    <t xml:space="preserve">ORD1744</t>
  </si>
  <si>
    <t xml:space="preserve">ORD1745</t>
  </si>
  <si>
    <t xml:space="preserve">ORD1746</t>
  </si>
  <si>
    <t xml:space="preserve">ORD1747</t>
  </si>
  <si>
    <t xml:space="preserve">ORD1748</t>
  </si>
  <si>
    <t xml:space="preserve">ORD1749</t>
  </si>
  <si>
    <t xml:space="preserve">ORD1750</t>
  </si>
  <si>
    <t xml:space="preserve">ORD1751</t>
  </si>
  <si>
    <t xml:space="preserve">ORD1752</t>
  </si>
  <si>
    <t xml:space="preserve">ORD1753</t>
  </si>
  <si>
    <t xml:space="preserve">ORD1754</t>
  </si>
  <si>
    <t xml:space="preserve">ORD1755</t>
  </si>
  <si>
    <t xml:space="preserve">ORD1756</t>
  </si>
  <si>
    <t xml:space="preserve">ORD1757</t>
  </si>
  <si>
    <t xml:space="preserve">ORD1758</t>
  </si>
  <si>
    <t xml:space="preserve">ORD1759</t>
  </si>
  <si>
    <t xml:space="preserve">ORD1760</t>
  </si>
  <si>
    <t xml:space="preserve">ORD1761</t>
  </si>
  <si>
    <t xml:space="preserve">ORD1762</t>
  </si>
  <si>
    <t xml:space="preserve">ORD1763</t>
  </si>
  <si>
    <t xml:space="preserve">ORD1764</t>
  </si>
  <si>
    <t xml:space="preserve">ORD1765</t>
  </si>
  <si>
    <t xml:space="preserve">ORD1766</t>
  </si>
  <si>
    <t xml:space="preserve">ORD1767</t>
  </si>
  <si>
    <t xml:space="preserve">ORD1768</t>
  </si>
  <si>
    <t xml:space="preserve">ORD1769</t>
  </si>
  <si>
    <t xml:space="preserve">ORD1770</t>
  </si>
  <si>
    <t xml:space="preserve">ORD1771</t>
  </si>
  <si>
    <t xml:space="preserve">ORD1772</t>
  </si>
  <si>
    <t xml:space="preserve">ORD1773</t>
  </si>
  <si>
    <t xml:space="preserve">ORD1774</t>
  </si>
  <si>
    <t xml:space="preserve">ORD1775</t>
  </si>
  <si>
    <t xml:space="preserve">ORD1776</t>
  </si>
  <si>
    <t xml:space="preserve">ORD1777</t>
  </si>
  <si>
    <t xml:space="preserve">ORD1778</t>
  </si>
  <si>
    <t xml:space="preserve">ORD1779</t>
  </si>
  <si>
    <t xml:space="preserve">ORD1781</t>
  </si>
  <si>
    <t xml:space="preserve">ORD1782</t>
  </si>
  <si>
    <t xml:space="preserve">ORD1783</t>
  </si>
  <si>
    <t xml:space="preserve">ORD1784</t>
  </si>
  <si>
    <t xml:space="preserve">ORD1785</t>
  </si>
  <si>
    <t xml:space="preserve">ORD1786</t>
  </si>
  <si>
    <t xml:space="preserve">ORD1787</t>
  </si>
  <si>
    <t xml:space="preserve">ORD1788</t>
  </si>
  <si>
    <t xml:space="preserve">ORD1789</t>
  </si>
  <si>
    <t xml:space="preserve">ORD1790</t>
  </si>
  <si>
    <t xml:space="preserve">ORD1791</t>
  </si>
  <si>
    <t xml:space="preserve">ORD1792</t>
  </si>
  <si>
    <t xml:space="preserve">ORD1793</t>
  </si>
  <si>
    <t xml:space="preserve">ORD1794</t>
  </si>
  <si>
    <t xml:space="preserve">ORD1795</t>
  </si>
  <si>
    <t xml:space="preserve">ORD1796</t>
  </si>
  <si>
    <t xml:space="preserve">ORD1797</t>
  </si>
  <si>
    <t xml:space="preserve">ORD1798</t>
  </si>
  <si>
    <t xml:space="preserve">ORD1799</t>
  </si>
  <si>
    <t xml:space="preserve">ORD1800</t>
  </si>
  <si>
    <t xml:space="preserve">ORD1801</t>
  </si>
  <si>
    <t xml:space="preserve">ORD1802</t>
  </si>
  <si>
    <t xml:space="preserve">ORD1803</t>
  </si>
  <si>
    <t xml:space="preserve">ORD1804</t>
  </si>
  <si>
    <t xml:space="preserve">ORD1805</t>
  </si>
  <si>
    <t xml:space="preserve">ORD1806</t>
  </si>
  <si>
    <t xml:space="preserve">ORD1807</t>
  </si>
  <si>
    <t xml:space="preserve">ORD1808</t>
  </si>
  <si>
    <t xml:space="preserve">ORD1809</t>
  </si>
  <si>
    <t xml:space="preserve">ORD1810</t>
  </si>
  <si>
    <t xml:space="preserve">ORD1811</t>
  </si>
  <si>
    <t xml:space="preserve">ORD1812</t>
  </si>
  <si>
    <t xml:space="preserve">ORD1813</t>
  </si>
  <si>
    <t xml:space="preserve">ORD1814</t>
  </si>
  <si>
    <t xml:space="preserve">ORD1815</t>
  </si>
  <si>
    <t xml:space="preserve">ORD1816</t>
  </si>
  <si>
    <t xml:space="preserve">ORD1817</t>
  </si>
  <si>
    <t xml:space="preserve">ORD1818</t>
  </si>
  <si>
    <t xml:space="preserve">ORD1819</t>
  </si>
  <si>
    <t xml:space="preserve">ORD1820</t>
  </si>
  <si>
    <t xml:space="preserve">ORD1821</t>
  </si>
  <si>
    <t xml:space="preserve">ORD1822</t>
  </si>
  <si>
    <t xml:space="preserve">ORD1823</t>
  </si>
  <si>
    <t xml:space="preserve">ORD1824</t>
  </si>
  <si>
    <t xml:space="preserve">ORD1825</t>
  </si>
  <si>
    <t xml:space="preserve">ORD1826</t>
  </si>
  <si>
    <t xml:space="preserve">ORD1827</t>
  </si>
  <si>
    <t xml:space="preserve">ORD1828</t>
  </si>
  <si>
    <t xml:space="preserve">ORD1829</t>
  </si>
  <si>
    <t xml:space="preserve">ORD1830</t>
  </si>
  <si>
    <t xml:space="preserve">ORD1831</t>
  </si>
  <si>
    <t xml:space="preserve">ORD1832</t>
  </si>
  <si>
    <t xml:space="preserve">ORD1833</t>
  </si>
  <si>
    <t xml:space="preserve">ORD1834</t>
  </si>
  <si>
    <t xml:space="preserve">ORD1835</t>
  </si>
  <si>
    <t xml:space="preserve">ORD1836</t>
  </si>
  <si>
    <t xml:space="preserve">ORD1837</t>
  </si>
  <si>
    <t xml:space="preserve">ORD1838</t>
  </si>
  <si>
    <t xml:space="preserve">ORD1839</t>
  </si>
  <si>
    <t xml:space="preserve">ORD1840</t>
  </si>
  <si>
    <t xml:space="preserve">ORD1841</t>
  </si>
  <si>
    <t xml:space="preserve">ORD1842</t>
  </si>
  <si>
    <t xml:space="preserve">ORD1843</t>
  </si>
  <si>
    <t xml:space="preserve">ORD1844</t>
  </si>
  <si>
    <t xml:space="preserve">ORD1845</t>
  </si>
  <si>
    <t xml:space="preserve">ORD1846</t>
  </si>
  <si>
    <t xml:space="preserve">ORD1847</t>
  </si>
  <si>
    <t xml:space="preserve">ORD1848</t>
  </si>
  <si>
    <t xml:space="preserve">ORD1849</t>
  </si>
  <si>
    <t xml:space="preserve">ORD1850</t>
  </si>
  <si>
    <t xml:space="preserve">ORD1851</t>
  </si>
  <si>
    <t xml:space="preserve">ORD1852</t>
  </si>
  <si>
    <t xml:space="preserve">ORD1853</t>
  </si>
  <si>
    <t xml:space="preserve">ORD1854</t>
  </si>
  <si>
    <t xml:space="preserve">ORD1855</t>
  </si>
  <si>
    <t xml:space="preserve">ORD1856</t>
  </si>
  <si>
    <t xml:space="preserve">ORD1857</t>
  </si>
  <si>
    <t xml:space="preserve">ORD1858</t>
  </si>
  <si>
    <t xml:space="preserve">ORD1859</t>
  </si>
  <si>
    <t xml:space="preserve">ORD1860</t>
  </si>
  <si>
    <t xml:space="preserve">ORD1861</t>
  </si>
  <si>
    <t xml:space="preserve">ORD1862</t>
  </si>
  <si>
    <t xml:space="preserve">ORD1863</t>
  </si>
  <si>
    <t xml:space="preserve">ORD1864</t>
  </si>
  <si>
    <t xml:space="preserve">ORD1865</t>
  </si>
  <si>
    <t xml:space="preserve">ORD1866</t>
  </si>
  <si>
    <t xml:space="preserve">ORD1867</t>
  </si>
  <si>
    <t xml:space="preserve">ORD1868</t>
  </si>
  <si>
    <t xml:space="preserve">ORD1869</t>
  </si>
  <si>
    <t xml:space="preserve">ORD1870</t>
  </si>
  <si>
    <t xml:space="preserve">ORD1871</t>
  </si>
  <si>
    <t xml:space="preserve">ORD1872</t>
  </si>
  <si>
    <t xml:space="preserve">ORD1873</t>
  </si>
  <si>
    <t xml:space="preserve">ORD1874</t>
  </si>
  <si>
    <t xml:space="preserve">ORD1875</t>
  </si>
  <si>
    <t xml:space="preserve">ORD1876</t>
  </si>
  <si>
    <t xml:space="preserve">ORD1877</t>
  </si>
  <si>
    <t xml:space="preserve">ORD1878</t>
  </si>
  <si>
    <t xml:space="preserve">ORD1879</t>
  </si>
  <si>
    <t xml:space="preserve">ORD1880</t>
  </si>
  <si>
    <t xml:space="preserve">ORD1881</t>
  </si>
  <si>
    <t xml:space="preserve">ORD1882</t>
  </si>
  <si>
    <t xml:space="preserve">ORD1883</t>
  </si>
  <si>
    <t xml:space="preserve">ORD1884</t>
  </si>
  <si>
    <t xml:space="preserve">ORD1885</t>
  </si>
  <si>
    <t xml:space="preserve">ORD1886</t>
  </si>
  <si>
    <t xml:space="preserve">ORD1887</t>
  </si>
  <si>
    <t xml:space="preserve">ORD1888</t>
  </si>
  <si>
    <t xml:space="preserve">ORD1889</t>
  </si>
  <si>
    <t xml:space="preserve">ORD1890</t>
  </si>
  <si>
    <t xml:space="preserve">ORD1891</t>
  </si>
  <si>
    <t xml:space="preserve">ORD1892</t>
  </si>
  <si>
    <t xml:space="preserve">ORD1893</t>
  </si>
  <si>
    <t xml:space="preserve">ORD1894</t>
  </si>
  <si>
    <t xml:space="preserve">ORD1895</t>
  </si>
  <si>
    <t xml:space="preserve">ORD1896</t>
  </si>
  <si>
    <t xml:space="preserve">ORD1897</t>
  </si>
  <si>
    <t xml:space="preserve">ORD1898</t>
  </si>
  <si>
    <t xml:space="preserve">ORD1899</t>
  </si>
  <si>
    <t xml:space="preserve">ORD1900</t>
  </si>
  <si>
    <t xml:space="preserve">ORD1901</t>
  </si>
  <si>
    <t xml:space="preserve">ORD1902</t>
  </si>
  <si>
    <t xml:space="preserve">ORD1903</t>
  </si>
  <si>
    <t xml:space="preserve">ORD1904</t>
  </si>
  <si>
    <t xml:space="preserve">ORD1905</t>
  </si>
  <si>
    <t xml:space="preserve">ORD1906</t>
  </si>
  <si>
    <t xml:space="preserve">ORD1907</t>
  </si>
  <si>
    <t xml:space="preserve">ORD1908</t>
  </si>
  <si>
    <t xml:space="preserve">ORD1909</t>
  </si>
  <si>
    <t xml:space="preserve">ORD1910</t>
  </si>
  <si>
    <t xml:space="preserve">ORD1911</t>
  </si>
  <si>
    <t xml:space="preserve">ORD1912</t>
  </si>
  <si>
    <t xml:space="preserve">ORD1913</t>
  </si>
  <si>
    <t xml:space="preserve">ORD1914</t>
  </si>
  <si>
    <t xml:space="preserve">ORD1915</t>
  </si>
  <si>
    <t xml:space="preserve">ORD1916</t>
  </si>
  <si>
    <t xml:space="preserve">ORD1917</t>
  </si>
  <si>
    <t xml:space="preserve">ORD1918</t>
  </si>
  <si>
    <t xml:space="preserve">ORD1919</t>
  </si>
  <si>
    <t xml:space="preserve">ORD1920</t>
  </si>
  <si>
    <t xml:space="preserve">ORD1921</t>
  </si>
  <si>
    <t xml:space="preserve">ORD1922</t>
  </si>
  <si>
    <t xml:space="preserve">ORD1923</t>
  </si>
  <si>
    <t xml:space="preserve">ORD1924</t>
  </si>
  <si>
    <t xml:space="preserve">ORD1925</t>
  </si>
  <si>
    <t xml:space="preserve">ORD1926</t>
  </si>
  <si>
    <t xml:space="preserve">ORD1927</t>
  </si>
  <si>
    <t xml:space="preserve">ORD1928</t>
  </si>
  <si>
    <t xml:space="preserve">ORD1929</t>
  </si>
  <si>
    <t xml:space="preserve">ORD1930</t>
  </si>
  <si>
    <t xml:space="preserve">ORD1931</t>
  </si>
  <si>
    <t xml:space="preserve">ORD1932</t>
  </si>
  <si>
    <t xml:space="preserve">ORD1933</t>
  </si>
  <si>
    <t xml:space="preserve">ORD1934</t>
  </si>
  <si>
    <t xml:space="preserve">ORD1935</t>
  </si>
  <si>
    <t xml:space="preserve">ORD1936</t>
  </si>
  <si>
    <t xml:space="preserve">ORD1937</t>
  </si>
  <si>
    <t xml:space="preserve">ORD1938</t>
  </si>
  <si>
    <t xml:space="preserve">ORD1939</t>
  </si>
  <si>
    <t xml:space="preserve">ORD1940</t>
  </si>
  <si>
    <t xml:space="preserve">ORD1941</t>
  </si>
  <si>
    <t xml:space="preserve">ORD1942</t>
  </si>
  <si>
    <t xml:space="preserve">ORD1943</t>
  </si>
  <si>
    <t xml:space="preserve">ORD1944</t>
  </si>
  <si>
    <t xml:space="preserve">ORD1945</t>
  </si>
  <si>
    <t xml:space="preserve">ORD1946</t>
  </si>
  <si>
    <t xml:space="preserve">ORD1947</t>
  </si>
  <si>
    <t xml:space="preserve">ORD1948</t>
  </si>
  <si>
    <t xml:space="preserve">ORD1949</t>
  </si>
  <si>
    <t xml:space="preserve">ORD1950</t>
  </si>
  <si>
    <t xml:space="preserve">ORD1951</t>
  </si>
  <si>
    <t xml:space="preserve">ORD1952</t>
  </si>
  <si>
    <t xml:space="preserve">ORD1953</t>
  </si>
  <si>
    <t xml:space="preserve">ORD1954</t>
  </si>
  <si>
    <t xml:space="preserve">ORD1955</t>
  </si>
  <si>
    <t xml:space="preserve">ORD1956</t>
  </si>
  <si>
    <t xml:space="preserve">ORD1957</t>
  </si>
  <si>
    <t xml:space="preserve">ORD1958</t>
  </si>
  <si>
    <t xml:space="preserve">ORD1959</t>
  </si>
  <si>
    <t xml:space="preserve">ORD1960</t>
  </si>
  <si>
    <t xml:space="preserve">ORD1961</t>
  </si>
  <si>
    <t xml:space="preserve">ORD1962</t>
  </si>
  <si>
    <t xml:space="preserve">ORD1963</t>
  </si>
  <si>
    <t xml:space="preserve">ORD1964</t>
  </si>
  <si>
    <t xml:space="preserve">ORD1965</t>
  </si>
  <si>
    <t xml:space="preserve">ORD1966</t>
  </si>
  <si>
    <t xml:space="preserve">ORD1967</t>
  </si>
  <si>
    <t xml:space="preserve">ORD1968</t>
  </si>
  <si>
    <t xml:space="preserve">ORD1969</t>
  </si>
  <si>
    <t xml:space="preserve">ORD1970</t>
  </si>
  <si>
    <t xml:space="preserve">ORD1971</t>
  </si>
  <si>
    <t xml:space="preserve">ORD1972</t>
  </si>
  <si>
    <t xml:space="preserve">ORD1973</t>
  </si>
  <si>
    <t xml:space="preserve">ORD1974</t>
  </si>
  <si>
    <t xml:space="preserve">ORD1975</t>
  </si>
  <si>
    <t xml:space="preserve">ORD1976</t>
  </si>
  <si>
    <t xml:space="preserve">ORD1977</t>
  </si>
  <si>
    <t xml:space="preserve">ORD1978</t>
  </si>
  <si>
    <t xml:space="preserve">ORD1979</t>
  </si>
  <si>
    <t xml:space="preserve">ORD1980</t>
  </si>
  <si>
    <t xml:space="preserve">ORD1981</t>
  </si>
  <si>
    <t xml:space="preserve">ORD1982</t>
  </si>
  <si>
    <t xml:space="preserve">ORD1983</t>
  </si>
  <si>
    <t xml:space="preserve">ORD1984</t>
  </si>
  <si>
    <t xml:space="preserve">ORD1985</t>
  </si>
  <si>
    <t xml:space="preserve">ORD1986</t>
  </si>
  <si>
    <t xml:space="preserve">ORD1987</t>
  </si>
  <si>
    <t xml:space="preserve">ORD1988</t>
  </si>
  <si>
    <t xml:space="preserve">ORD1989</t>
  </si>
  <si>
    <t xml:space="preserve">ORD1990</t>
  </si>
  <si>
    <t xml:space="preserve">ORD1991</t>
  </si>
  <si>
    <t xml:space="preserve">ORD1992</t>
  </si>
  <si>
    <t xml:space="preserve">ORD1993</t>
  </si>
  <si>
    <t xml:space="preserve">ORD1994</t>
  </si>
  <si>
    <t xml:space="preserve">ORD1995</t>
  </si>
  <si>
    <t xml:space="preserve">ORD1996</t>
  </si>
  <si>
    <t xml:space="preserve">ORD1997</t>
  </si>
  <si>
    <t xml:space="preserve">ORD1998</t>
  </si>
  <si>
    <t xml:space="preserve">ORD1999</t>
  </si>
  <si>
    <t xml:space="preserve">ORD2000</t>
  </si>
  <si>
    <t xml:space="preserve">CostPrice</t>
  </si>
  <si>
    <t xml:space="preserve">Stationery</t>
  </si>
  <si>
    <t xml:space="preserve">Electronics</t>
  </si>
  <si>
    <t xml:space="preserve">Accessories</t>
  </si>
  <si>
    <t xml:space="preserve">Home</t>
  </si>
  <si>
    <t xml:space="preserve">CustomerName</t>
  </si>
  <si>
    <t xml:space="preserve">Saanvi Jain</t>
  </si>
  <si>
    <t xml:space="preserve">Nagpur</t>
  </si>
  <si>
    <t xml:space="preserve">Retail</t>
  </si>
  <si>
    <t xml:space="preserve">Isha Mishra</t>
  </si>
  <si>
    <t xml:space="preserve">Indore</t>
  </si>
  <si>
    <t xml:space="preserve">Student</t>
  </si>
  <si>
    <t xml:space="preserve">Yash Mishra</t>
  </si>
  <si>
    <t xml:space="preserve">Delhi</t>
  </si>
  <si>
    <t xml:space="preserve">Karan Jain</t>
  </si>
  <si>
    <t xml:space="preserve">Mumbai</t>
  </si>
  <si>
    <t xml:space="preserve">Corporate</t>
  </si>
  <si>
    <t xml:space="preserve">Saanvi Gupta</t>
  </si>
  <si>
    <t xml:space="preserve">Bhopal</t>
  </si>
  <si>
    <t xml:space="preserve">Harsh Khan</t>
  </si>
  <si>
    <t xml:space="preserve">Aarav Mishra</t>
  </si>
  <si>
    <t xml:space="preserve">Dev Reddy</t>
  </si>
  <si>
    <t xml:space="preserve">Kolkata</t>
  </si>
  <si>
    <t xml:space="preserve">Arjun Reddy</t>
  </si>
  <si>
    <t xml:space="preserve">Lucknow</t>
  </si>
  <si>
    <t xml:space="preserve">Ananya Khan</t>
  </si>
  <si>
    <t xml:space="preserve">Kavya Reddy</t>
  </si>
  <si>
    <t xml:space="preserve">Diya Reddy</t>
  </si>
  <si>
    <t xml:space="preserve">Jaipur</t>
  </si>
  <si>
    <t xml:space="preserve">Vivaan Khan</t>
  </si>
  <si>
    <t xml:space="preserve">Pune</t>
  </si>
  <si>
    <t xml:space="preserve">Ishaan Sharma</t>
  </si>
  <si>
    <t xml:space="preserve">Chennai</t>
  </si>
  <si>
    <t xml:space="preserve">Pari Iyer</t>
  </si>
  <si>
    <t xml:space="preserve">Isha Reddy</t>
  </si>
  <si>
    <t xml:space="preserve">Pari Reddy</t>
  </si>
  <si>
    <t xml:space="preserve">Aarav Iyer</t>
  </si>
  <si>
    <t xml:space="preserve">Rohan Gupta</t>
  </si>
  <si>
    <t xml:space="preserve">Isha Kapoor</t>
  </si>
  <si>
    <t xml:space="preserve">Karan Reddy</t>
  </si>
  <si>
    <t xml:space="preserve">Saanvi Das</t>
  </si>
  <si>
    <t xml:space="preserve">Rohan Khan</t>
  </si>
  <si>
    <t xml:space="preserve">Karan Gupta</t>
  </si>
  <si>
    <t xml:space="preserve">Tanvi Iyer</t>
  </si>
  <si>
    <t xml:space="preserve">Aditya Das</t>
  </si>
  <si>
    <t xml:space="preserve">Ananya Gupta</t>
  </si>
  <si>
    <t xml:space="preserve">Simran Gupta</t>
  </si>
  <si>
    <t xml:space="preserve">Arjun Gupta</t>
  </si>
  <si>
    <t xml:space="preserve">Pari Khan</t>
  </si>
  <si>
    <t xml:space="preserve">Aditya Jain</t>
  </si>
  <si>
    <t xml:space="preserve">Karan Patel</t>
  </si>
  <si>
    <t xml:space="preserve">Aarav Kapoor</t>
  </si>
  <si>
    <t xml:space="preserve">Karan Sharma</t>
  </si>
  <si>
    <t xml:space="preserve">Vivaan Gupta</t>
  </si>
  <si>
    <t xml:space="preserve">Aarav Patel</t>
  </si>
  <si>
    <t xml:space="preserve">Meera Patel</t>
  </si>
  <si>
    <t xml:space="preserve">Simran Kapoor</t>
  </si>
  <si>
    <t xml:space="preserve">Arjun Iyer</t>
  </si>
  <si>
    <t xml:space="preserve">Kavya Sharma</t>
  </si>
  <si>
    <t xml:space="preserve">Rohan Mishra</t>
  </si>
  <si>
    <t xml:space="preserve">Vivaan Patel</t>
  </si>
  <si>
    <t xml:space="preserve">Ishaan Mishra</t>
  </si>
  <si>
    <t xml:space="preserve">Aarav Khan</t>
  </si>
  <si>
    <t xml:space="preserve">Tanvi Jain</t>
  </si>
  <si>
    <t xml:space="preserve">Arjun Khan</t>
  </si>
  <si>
    <t xml:space="preserve">Ishaan Das</t>
  </si>
  <si>
    <t xml:space="preserve">Kavya Patel</t>
  </si>
  <si>
    <t xml:space="preserve">Aditya Kapoor</t>
  </si>
  <si>
    <t xml:space="preserve">Nisha Patel</t>
  </si>
  <si>
    <t xml:space="preserve">Diya Gupta</t>
  </si>
  <si>
    <t xml:space="preserve">Meera Kapoor</t>
  </si>
  <si>
    <t xml:space="preserve">Tanvi Gupta</t>
  </si>
  <si>
    <t xml:space="preserve">Simran Iyer</t>
  </si>
  <si>
    <t xml:space="preserve">Aditya Sharma</t>
  </si>
  <si>
    <t xml:space="preserve">Diya Iyer</t>
  </si>
  <si>
    <t xml:space="preserve">Yash Das</t>
  </si>
  <si>
    <t xml:space="preserve">Harsh Jain</t>
  </si>
  <si>
    <t xml:space="preserve">Aditya Iyer</t>
  </si>
  <si>
    <t xml:space="preserve">Karan Iyer</t>
  </si>
  <si>
    <t xml:space="preserve">Tanvi Das</t>
  </si>
  <si>
    <t xml:space="preserve">Meera Gupta</t>
  </si>
  <si>
    <t xml:space="preserve">Tanvi Mishra</t>
  </si>
  <si>
    <t xml:space="preserve">Isha Das</t>
  </si>
  <si>
    <t xml:space="preserve">Kavya Jain</t>
  </si>
  <si>
    <t xml:space="preserve">Vivaan Iyer</t>
  </si>
  <si>
    <t xml:space="preserve">Arjun Das</t>
  </si>
  <si>
    <t xml:space="preserve">Tanvi Khan</t>
  </si>
  <si>
    <t xml:space="preserve">Diya Jain</t>
  </si>
  <si>
    <t xml:space="preserve">Ishaan Kapoor</t>
  </si>
  <si>
    <t xml:space="preserve">Pari Gupta</t>
  </si>
  <si>
    <t xml:space="preserve">Nisha Gupta</t>
  </si>
  <si>
    <t xml:space="preserve">Diya Mishra</t>
  </si>
  <si>
    <t xml:space="preserve">Aarav Reddy</t>
  </si>
  <si>
    <t xml:space="preserve">Vivaan Sharma</t>
  </si>
  <si>
    <t xml:space="preserve">Dev Gupta</t>
  </si>
  <si>
    <t xml:space="preserve">Rohan Kapoor</t>
  </si>
  <si>
    <t xml:space="preserve">Aditya Mishra</t>
  </si>
  <si>
    <t xml:space="preserve">Nisha Jain</t>
  </si>
  <si>
    <t xml:space="preserve">Ishaan Patel</t>
  </si>
  <si>
    <t xml:space="preserve">Aditya Khan</t>
  </si>
  <si>
    <t xml:space="preserve">Harsh Kapoor</t>
  </si>
  <si>
    <t xml:space="preserve">Simran Sharma</t>
  </si>
  <si>
    <t xml:space="preserve">Aditya Reddy</t>
  </si>
  <si>
    <t xml:space="preserve">Arjun Jain</t>
  </si>
  <si>
    <t xml:space="preserve">Meera Jain</t>
  </si>
  <si>
    <t xml:space="preserve">Ishaan Iyer</t>
  </si>
  <si>
    <t xml:space="preserve">Dev Patel</t>
  </si>
  <si>
    <t xml:space="preserve">Harsh Sharma</t>
  </si>
  <si>
    <t xml:space="preserve">Diya Das</t>
  </si>
  <si>
    <t xml:space="preserve">Pari Mishra</t>
  </si>
  <si>
    <t xml:space="preserve">Pari Jain</t>
  </si>
  <si>
    <t xml:space="preserve">Karan Khan</t>
  </si>
  <si>
    <t xml:space="preserve">Pari Patel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</si>
</sst>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\-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1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10" min="9" style="0" width="12"/>
    <col collapsed="false" customWidth="true" hidden="false" outlineLevel="0" max="11" min="11" style="0" width="13"/>
    <col collapsed="false" customWidth="true" hidden="false" outlineLevel="0" max="15" min="1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s">
        <v>16</v>
      </c>
      <c r="B2" s="2" t="n">
        <v>45760</v>
      </c>
      <c r="C2" s="3" t="s">
        <v>17</v>
      </c>
      <c r="D2" s="3" t="s">
        <v>18</v>
      </c>
      <c r="E2" s="3" t="s">
        <v>19</v>
      </c>
      <c r="F2" s="0" t="n">
        <v>1</v>
      </c>
      <c r="G2" s="0" t="n">
        <v>349</v>
      </c>
      <c r="H2" s="0" t="n">
        <v>15</v>
      </c>
      <c r="I2" s="3" t="s">
        <v>20</v>
      </c>
      <c r="J2" s="0" t="n">
        <v>3</v>
      </c>
      <c r="K2" s="3" t="s">
        <v>21</v>
      </c>
      <c r="L2" s="0" t="str">
        <f aca="false">VLOOKUP(D2,Products!$A$2:$D$13,2,FALSE())</f>
        <v>Home</v>
      </c>
      <c r="M2" s="3" t="n">
        <f aca="false">F2*G2*(1-H2/100)</f>
        <v>296.65</v>
      </c>
      <c r="N2" s="0" t="str">
        <f aca="false">VLOOKUP(I2,Customers!$A$2:$D$121,3,FALSE())</f>
        <v>Mumbai</v>
      </c>
      <c r="O2" s="0" t="str">
        <f aca="false">VLOOKUP(I2,Customers!$A$2:$D$121,4,FALSE())</f>
        <v>Student</v>
      </c>
      <c r="P2" s="0" t="str">
        <f aca="false">TEXT(B2,"yyyy-mm")</f>
        <v>2025-04</v>
      </c>
    </row>
    <row r="3" customFormat="false" ht="15" hidden="false" customHeight="false" outlineLevel="0" collapsed="false">
      <c r="A3" s="0" t="s">
        <v>22</v>
      </c>
      <c r="B3" s="2" t="n">
        <v>45792</v>
      </c>
      <c r="C3" s="3" t="s">
        <v>23</v>
      </c>
      <c r="D3" s="3" t="s">
        <v>18</v>
      </c>
      <c r="E3" s="3" t="s">
        <v>24</v>
      </c>
      <c r="F3" s="0" t="n">
        <v>6</v>
      </c>
      <c r="G3" s="0" t="n">
        <v>349</v>
      </c>
      <c r="H3" s="0" t="n">
        <v>10</v>
      </c>
      <c r="I3" s="3" t="s">
        <v>25</v>
      </c>
      <c r="J3" s="0" t="n">
        <v>1</v>
      </c>
      <c r="K3" s="3" t="s">
        <v>26</v>
      </c>
      <c r="L3" s="0" t="str">
        <f aca="false">VLOOKUP(D3,Products!$A$2:$D$13,2,FALSE())</f>
        <v>Home</v>
      </c>
      <c r="M3" s="3" t="n">
        <f aca="false">F3*G3*(1-H3/100)</f>
        <v>1884.6</v>
      </c>
      <c r="N3" s="0" t="str">
        <f aca="false">VLOOKUP(I3,Customers!$A$2:$D$121,3,FALSE())</f>
        <v>Indore</v>
      </c>
      <c r="O3" s="0" t="str">
        <f aca="false">VLOOKUP(I3,Customers!$A$2:$D$121,4,FALSE())</f>
        <v>Corporate</v>
      </c>
      <c r="P3" s="0" t="str">
        <f aca="false">TEXT(B3,"yyyy-mm")</f>
        <v>2025-05</v>
      </c>
    </row>
    <row r="4" customFormat="false" ht="15" hidden="false" customHeight="false" outlineLevel="0" collapsed="false">
      <c r="A4" s="0" t="s">
        <v>27</v>
      </c>
      <c r="B4" s="2" t="n">
        <v>46056</v>
      </c>
      <c r="C4" s="3" t="s">
        <v>23</v>
      </c>
      <c r="D4" s="3" t="s">
        <v>28</v>
      </c>
      <c r="E4" s="3" t="s">
        <v>29</v>
      </c>
      <c r="F4" s="0" t="n">
        <v>3</v>
      </c>
      <c r="G4" s="0" t="n">
        <v>450</v>
      </c>
      <c r="H4" s="0" t="n">
        <v>0</v>
      </c>
      <c r="I4" s="3" t="s">
        <v>30</v>
      </c>
      <c r="J4" s="0" t="n">
        <v>3</v>
      </c>
      <c r="K4" s="3" t="s">
        <v>26</v>
      </c>
      <c r="L4" s="0" t="str">
        <f aca="false">VLOOKUP(D4,Products!$A$2:$D$13,2,FALSE())</f>
        <v>Electronics</v>
      </c>
      <c r="M4" s="3" t="n">
        <f aca="false">F4*G4*(1-H4/100)</f>
        <v>1350</v>
      </c>
      <c r="N4" s="0" t="str">
        <f aca="false">VLOOKUP(I4,Customers!$A$2:$D$121,3,FALSE())</f>
        <v>Chennai</v>
      </c>
      <c r="O4" s="0" t="str">
        <f aca="false">VLOOKUP(I4,Customers!$A$2:$D$121,4,FALSE())</f>
        <v>Student</v>
      </c>
      <c r="P4" s="0" t="str">
        <f aca="false">TEXT(B4,"yyyy-mm")</f>
        <v>2026-02</v>
      </c>
    </row>
    <row r="5" customFormat="false" ht="15" hidden="false" customHeight="false" outlineLevel="0" collapsed="false">
      <c r="A5" s="0" t="s">
        <v>31</v>
      </c>
      <c r="B5" s="2" t="n">
        <v>45890</v>
      </c>
      <c r="C5" s="3" t="s">
        <v>23</v>
      </c>
      <c r="D5" s="3" t="s">
        <v>32</v>
      </c>
      <c r="E5" s="3" t="s">
        <v>29</v>
      </c>
      <c r="F5" s="0" t="n">
        <v>2</v>
      </c>
      <c r="G5" s="0" t="n">
        <v>249</v>
      </c>
      <c r="H5" s="0" t="n">
        <v>0</v>
      </c>
      <c r="I5" s="3" t="s">
        <v>33</v>
      </c>
      <c r="J5" s="0" t="n">
        <v>5</v>
      </c>
      <c r="K5" s="3" t="s">
        <v>34</v>
      </c>
      <c r="L5" s="0" t="str">
        <f aca="false">VLOOKUP(D5,Products!$A$2:$D$13,2,FALSE())</f>
        <v>Accessories</v>
      </c>
      <c r="M5" s="3" t="n">
        <f aca="false">F5*G5*(1-H5/100)</f>
        <v>498</v>
      </c>
      <c r="N5" s="0" t="str">
        <f aca="false">VLOOKUP(I5,Customers!$A$2:$D$121,3,FALSE())</f>
        <v>Indore</v>
      </c>
      <c r="O5" s="0" t="str">
        <f aca="false">VLOOKUP(I5,Customers!$A$2:$D$121,4,FALSE())</f>
        <v>Corporate</v>
      </c>
      <c r="P5" s="0" t="str">
        <f aca="false">TEXT(B5,"yyyy-mm")</f>
        <v>2025-08</v>
      </c>
    </row>
    <row r="6" customFormat="false" ht="15" hidden="false" customHeight="false" outlineLevel="0" collapsed="false">
      <c r="A6" s="0" t="s">
        <v>35</v>
      </c>
      <c r="B6" s="2" t="n">
        <v>45858</v>
      </c>
      <c r="C6" s="3" t="s">
        <v>36</v>
      </c>
      <c r="D6" s="3" t="s">
        <v>37</v>
      </c>
      <c r="E6" s="3" t="s">
        <v>38</v>
      </c>
      <c r="F6" s="0" t="n">
        <v>1</v>
      </c>
      <c r="G6" s="0" t="n">
        <v>500</v>
      </c>
      <c r="H6" s="0" t="n">
        <v>0</v>
      </c>
      <c r="I6" s="3" t="s">
        <v>39</v>
      </c>
      <c r="J6" s="0" t="n">
        <v>2</v>
      </c>
      <c r="K6" s="3" t="s">
        <v>34</v>
      </c>
      <c r="L6" s="0" t="str">
        <f aca="false">VLOOKUP(D6,Products!$A$2:$D$13,2,FALSE())</f>
        <v>Electronics</v>
      </c>
      <c r="M6" s="3" t="n">
        <f aca="false">F6*G6*(1-H6/100)</f>
        <v>500</v>
      </c>
      <c r="N6" s="0" t="str">
        <f aca="false">VLOOKUP(I6,Customers!$A$2:$D$121,3,FALSE())</f>
        <v>Chennai</v>
      </c>
      <c r="O6" s="0" t="str">
        <f aca="false">VLOOKUP(I6,Customers!$A$2:$D$121,4,FALSE())</f>
        <v>Retail</v>
      </c>
      <c r="P6" s="0" t="str">
        <f aca="false">TEXT(B6,"yyyy-mm")</f>
        <v>2025-07</v>
      </c>
    </row>
    <row r="7" customFormat="false" ht="15" hidden="false" customHeight="false" outlineLevel="0" collapsed="false">
      <c r="A7" s="0" t="s">
        <v>40</v>
      </c>
      <c r="B7" s="2" t="n">
        <v>45883</v>
      </c>
      <c r="C7" s="3" t="s">
        <v>23</v>
      </c>
      <c r="D7" s="3" t="s">
        <v>41</v>
      </c>
      <c r="E7" s="3" t="s">
        <v>24</v>
      </c>
      <c r="F7" s="0" t="n">
        <v>1</v>
      </c>
      <c r="G7" s="0" t="n">
        <v>399</v>
      </c>
      <c r="H7" s="0" t="n">
        <v>0</v>
      </c>
      <c r="I7" s="3" t="s">
        <v>42</v>
      </c>
      <c r="J7" s="0" t="n">
        <v>4</v>
      </c>
      <c r="K7" s="3" t="s">
        <v>43</v>
      </c>
      <c r="L7" s="0" t="str">
        <f aca="false">VLOOKUP(D7,Products!$A$2:$D$13,2,FALSE())</f>
        <v>Electronics</v>
      </c>
      <c r="M7" s="3" t="n">
        <f aca="false">F7*G7*(1-H7/100)</f>
        <v>399</v>
      </c>
      <c r="N7" s="0" t="str">
        <f aca="false">VLOOKUP(I7,Customers!$A$2:$D$121,3,FALSE())</f>
        <v>Indore</v>
      </c>
      <c r="O7" s="0" t="str">
        <f aca="false">VLOOKUP(I7,Customers!$A$2:$D$121,4,FALSE())</f>
        <v>Retail</v>
      </c>
      <c r="P7" s="0" t="str">
        <f aca="false">TEXT(B7,"yyyy-mm")</f>
        <v>2025-08</v>
      </c>
    </row>
    <row r="8" customFormat="false" ht="15" hidden="false" customHeight="false" outlineLevel="0" collapsed="false">
      <c r="A8" s="0" t="s">
        <v>44</v>
      </c>
      <c r="B8" s="2" t="n">
        <v>45898</v>
      </c>
      <c r="C8" s="3" t="s">
        <v>23</v>
      </c>
      <c r="D8" s="3" t="s">
        <v>45</v>
      </c>
      <c r="E8" s="3" t="s">
        <v>29</v>
      </c>
      <c r="F8" s="0" t="n">
        <v>1</v>
      </c>
      <c r="G8" s="0" t="n">
        <v>30</v>
      </c>
      <c r="H8" s="0" t="n">
        <v>15</v>
      </c>
      <c r="I8" s="3" t="s">
        <v>46</v>
      </c>
      <c r="J8" s="0" t="n">
        <v>5</v>
      </c>
      <c r="K8" s="3" t="s">
        <v>26</v>
      </c>
      <c r="L8" s="0" t="str">
        <f aca="false">VLOOKUP(D8,Products!$A$2:$D$13,2,FALSE())</f>
        <v>Stationery</v>
      </c>
      <c r="M8" s="3" t="n">
        <f aca="false">F8*G8*(1-H8/100)</f>
        <v>25.5</v>
      </c>
      <c r="N8" s="0" t="str">
        <f aca="false">VLOOKUP(I8,Customers!$A$2:$D$121,3,FALSE())</f>
        <v>Indore</v>
      </c>
      <c r="O8" s="0" t="str">
        <f aca="false">VLOOKUP(I8,Customers!$A$2:$D$121,4,FALSE())</f>
        <v>Student</v>
      </c>
      <c r="P8" s="0" t="str">
        <f aca="false">TEXT(B8,"yyyy-mm")</f>
        <v>2025-08</v>
      </c>
    </row>
    <row r="9" customFormat="false" ht="15" hidden="false" customHeight="false" outlineLevel="0" collapsed="false">
      <c r="A9" s="0" t="s">
        <v>47</v>
      </c>
      <c r="B9" s="2" t="n">
        <v>45771</v>
      </c>
      <c r="C9" s="3" t="s">
        <v>17</v>
      </c>
      <c r="D9" s="3" t="s">
        <v>48</v>
      </c>
      <c r="E9" s="3" t="s">
        <v>19</v>
      </c>
      <c r="F9" s="0" t="n">
        <v>4</v>
      </c>
      <c r="G9" s="0" t="n">
        <v>199</v>
      </c>
      <c r="H9" s="0" t="n">
        <v>15</v>
      </c>
      <c r="I9" s="3" t="s">
        <v>49</v>
      </c>
      <c r="J9" s="0" t="n">
        <v>5</v>
      </c>
      <c r="K9" s="3" t="s">
        <v>26</v>
      </c>
      <c r="L9" s="0" t="str">
        <f aca="false">VLOOKUP(D9,Products!$A$2:$D$13,2,FALSE())</f>
        <v>Home</v>
      </c>
      <c r="M9" s="3" t="n">
        <f aca="false">F9*G9*(1-H9/100)</f>
        <v>676.6</v>
      </c>
      <c r="N9" s="0" t="str">
        <f aca="false">VLOOKUP(I9,Customers!$A$2:$D$121,3,FALSE())</f>
        <v>Indore</v>
      </c>
      <c r="O9" s="0" t="str">
        <f aca="false">VLOOKUP(I9,Customers!$A$2:$D$121,4,FALSE())</f>
        <v>Student</v>
      </c>
      <c r="P9" s="0" t="str">
        <f aca="false">TEXT(B9,"yyyy-mm")</f>
        <v>2025-04</v>
      </c>
    </row>
    <row r="10" customFormat="false" ht="15" hidden="false" customHeight="false" outlineLevel="0" collapsed="false">
      <c r="A10" s="0" t="s">
        <v>50</v>
      </c>
      <c r="B10" s="2" t="n">
        <v>45890</v>
      </c>
      <c r="C10" s="3" t="s">
        <v>51</v>
      </c>
      <c r="D10" s="3" t="s">
        <v>45</v>
      </c>
      <c r="E10" s="3" t="s">
        <v>52</v>
      </c>
      <c r="F10" s="0" t="n">
        <v>2</v>
      </c>
      <c r="G10" s="0" t="n">
        <v>30</v>
      </c>
      <c r="H10" s="0" t="n">
        <v>5</v>
      </c>
      <c r="I10" s="3" t="s">
        <v>53</v>
      </c>
      <c r="J10" s="0" t="n">
        <v>5</v>
      </c>
      <c r="K10" s="3" t="s">
        <v>34</v>
      </c>
      <c r="L10" s="0" t="str">
        <f aca="false">VLOOKUP(D10,Products!$A$2:$D$13,2,FALSE())</f>
        <v>Stationery</v>
      </c>
      <c r="M10" s="3" t="n">
        <f aca="false">F10*G10*(1-H10/100)</f>
        <v>57</v>
      </c>
      <c r="N10" s="0" t="str">
        <f aca="false">VLOOKUP(I10,Customers!$A$2:$D$121,3,FALSE())</f>
        <v>Nagpur</v>
      </c>
      <c r="O10" s="0" t="str">
        <f aca="false">VLOOKUP(I10,Customers!$A$2:$D$121,4,FALSE())</f>
        <v>Retail</v>
      </c>
      <c r="P10" s="0" t="str">
        <f aca="false">TEXT(B10,"yyyy-mm")</f>
        <v>2025-08</v>
      </c>
    </row>
    <row r="11" customFormat="false" ht="15" hidden="false" customHeight="false" outlineLevel="0" collapsed="false">
      <c r="A11" s="0" t="s">
        <v>54</v>
      </c>
      <c r="B11" s="2" t="n">
        <v>46091</v>
      </c>
      <c r="C11" s="3" t="s">
        <v>36</v>
      </c>
      <c r="D11" s="3" t="s">
        <v>41</v>
      </c>
      <c r="E11" s="3" t="s">
        <v>38</v>
      </c>
      <c r="F11" s="0" t="n">
        <v>3</v>
      </c>
      <c r="G11" s="0" t="n">
        <v>399</v>
      </c>
      <c r="H11" s="0" t="n">
        <v>0</v>
      </c>
      <c r="I11" s="3" t="s">
        <v>55</v>
      </c>
      <c r="J11" s="0" t="n">
        <v>5</v>
      </c>
      <c r="K11" s="3" t="s">
        <v>26</v>
      </c>
      <c r="L11" s="0" t="str">
        <f aca="false">VLOOKUP(D11,Products!$A$2:$D$13,2,FALSE())</f>
        <v>Electronics</v>
      </c>
      <c r="M11" s="3" t="n">
        <f aca="false">F11*G11*(1-H11/100)</f>
        <v>1197</v>
      </c>
      <c r="N11" s="0" t="str">
        <f aca="false">VLOOKUP(I11,Customers!$A$2:$D$121,3,FALSE())</f>
        <v>Jaipur</v>
      </c>
      <c r="O11" s="0" t="str">
        <f aca="false">VLOOKUP(I11,Customers!$A$2:$D$121,4,FALSE())</f>
        <v>Corporate</v>
      </c>
      <c r="P11" s="0" t="str">
        <f aca="false">TEXT(B11,"yyyy-mm")</f>
        <v>2026-03</v>
      </c>
    </row>
    <row r="12" customFormat="false" ht="15" hidden="false" customHeight="false" outlineLevel="0" collapsed="false">
      <c r="A12" s="0" t="s">
        <v>56</v>
      </c>
      <c r="B12" s="2" t="n">
        <v>45831</v>
      </c>
      <c r="C12" s="3" t="s">
        <v>36</v>
      </c>
      <c r="D12" s="3" t="s">
        <v>57</v>
      </c>
      <c r="E12" s="3" t="s">
        <v>38</v>
      </c>
      <c r="F12" s="0" t="n">
        <v>1</v>
      </c>
      <c r="G12" s="0" t="n">
        <v>549</v>
      </c>
      <c r="H12" s="0" t="n">
        <v>5</v>
      </c>
      <c r="I12" s="3" t="s">
        <v>58</v>
      </c>
      <c r="J12" s="0" t="n">
        <v>3</v>
      </c>
      <c r="K12" s="3" t="s">
        <v>34</v>
      </c>
      <c r="L12" s="0" t="str">
        <f aca="false">VLOOKUP(D12,Products!$A$2:$D$13,2,FALSE())</f>
        <v>Accessories</v>
      </c>
      <c r="M12" s="3" t="n">
        <f aca="false">F12*G12*(1-H12/100)</f>
        <v>521.55</v>
      </c>
      <c r="N12" s="0" t="str">
        <f aca="false">VLOOKUP(I12,Customers!$A$2:$D$121,3,FALSE())</f>
        <v>Kolkata</v>
      </c>
      <c r="O12" s="0" t="str">
        <f aca="false">VLOOKUP(I12,Customers!$A$2:$D$121,4,FALSE())</f>
        <v>Corporate</v>
      </c>
      <c r="P12" s="0" t="str">
        <f aca="false">TEXT(B12,"yyyy-mm")</f>
        <v>2025-06</v>
      </c>
    </row>
    <row r="13" customFormat="false" ht="15" hidden="false" customHeight="false" outlineLevel="0" collapsed="false">
      <c r="A13" s="0" t="s">
        <v>59</v>
      </c>
      <c r="B13" s="2" t="n">
        <v>45764</v>
      </c>
      <c r="C13" s="3" t="s">
        <v>36</v>
      </c>
      <c r="D13" s="3" t="s">
        <v>60</v>
      </c>
      <c r="E13" s="3" t="s">
        <v>38</v>
      </c>
      <c r="F13" s="0" t="n">
        <v>6</v>
      </c>
      <c r="G13" s="0" t="n">
        <v>40</v>
      </c>
      <c r="H13" s="0" t="n">
        <v>0</v>
      </c>
      <c r="I13" s="3" t="s">
        <v>61</v>
      </c>
      <c r="J13" s="0" t="n">
        <v>3</v>
      </c>
      <c r="K13" s="3" t="s">
        <v>34</v>
      </c>
      <c r="L13" s="0" t="str">
        <f aca="false">VLOOKUP(D13,Products!$A$2:$D$13,2,FALSE())</f>
        <v>Stationery</v>
      </c>
      <c r="M13" s="3" t="n">
        <f aca="false">F13*G13*(1-H13/100)</f>
        <v>240</v>
      </c>
      <c r="N13" s="0" t="str">
        <f aca="false">VLOOKUP(I13,Customers!$A$2:$D$121,3,FALSE())</f>
        <v>Delhi</v>
      </c>
      <c r="O13" s="0" t="str">
        <f aca="false">VLOOKUP(I13,Customers!$A$2:$D$121,4,FALSE())</f>
        <v>Retail</v>
      </c>
      <c r="P13" s="0" t="str">
        <f aca="false">TEXT(B13,"yyyy-mm")</f>
        <v>2025-04</v>
      </c>
    </row>
    <row r="14" customFormat="false" ht="15" hidden="false" customHeight="false" outlineLevel="0" collapsed="false">
      <c r="A14" s="0" t="s">
        <v>62</v>
      </c>
      <c r="B14" s="2" t="n">
        <v>45950</v>
      </c>
      <c r="C14" s="3" t="s">
        <v>51</v>
      </c>
      <c r="D14" s="3" t="s">
        <v>28</v>
      </c>
      <c r="E14" s="3" t="s">
        <v>52</v>
      </c>
      <c r="F14" s="0" t="n">
        <v>3</v>
      </c>
      <c r="G14" s="0" t="n">
        <v>450</v>
      </c>
      <c r="H14" s="0" t="n">
        <v>15</v>
      </c>
      <c r="I14" s="3" t="s">
        <v>63</v>
      </c>
      <c r="J14" s="0" t="n">
        <v>3</v>
      </c>
      <c r="K14" s="3" t="s">
        <v>26</v>
      </c>
      <c r="L14" s="0" t="str">
        <f aca="false">VLOOKUP(D14,Products!$A$2:$D$13,2,FALSE())</f>
        <v>Electronics</v>
      </c>
      <c r="M14" s="3" t="n">
        <f aca="false">F14*G14*(1-H14/100)</f>
        <v>1147.5</v>
      </c>
      <c r="N14" s="0" t="str">
        <f aca="false">VLOOKUP(I14,Customers!$A$2:$D$121,3,FALSE())</f>
        <v>Indore</v>
      </c>
      <c r="O14" s="0" t="str">
        <f aca="false">VLOOKUP(I14,Customers!$A$2:$D$121,4,FALSE())</f>
        <v>Student</v>
      </c>
      <c r="P14" s="0" t="str">
        <f aca="false">TEXT(B14,"yyyy-mm")</f>
        <v>2025-10</v>
      </c>
    </row>
    <row r="15" customFormat="false" ht="15" hidden="false" customHeight="false" outlineLevel="0" collapsed="false">
      <c r="A15" s="0" t="s">
        <v>64</v>
      </c>
      <c r="B15" s="2" t="n">
        <v>46023</v>
      </c>
      <c r="C15" s="3" t="s">
        <v>23</v>
      </c>
      <c r="D15" s="3" t="s">
        <v>48</v>
      </c>
      <c r="E15" s="3" t="s">
        <v>29</v>
      </c>
      <c r="F15" s="0" t="n">
        <v>1</v>
      </c>
      <c r="G15" s="0" t="n">
        <v>199</v>
      </c>
      <c r="H15" s="0" t="n">
        <v>0</v>
      </c>
      <c r="I15" s="3" t="s">
        <v>65</v>
      </c>
      <c r="J15" s="0" t="n">
        <v>4</v>
      </c>
      <c r="K15" s="3" t="s">
        <v>34</v>
      </c>
      <c r="L15" s="0" t="str">
        <f aca="false">VLOOKUP(D15,Products!$A$2:$D$13,2,FALSE())</f>
        <v>Home</v>
      </c>
      <c r="M15" s="3" t="n">
        <f aca="false">F15*G15*(1-H15/100)</f>
        <v>199</v>
      </c>
      <c r="N15" s="0" t="str">
        <f aca="false">VLOOKUP(I15,Customers!$A$2:$D$121,3,FALSE())</f>
        <v>Jaipur</v>
      </c>
      <c r="O15" s="0" t="str">
        <f aca="false">VLOOKUP(I15,Customers!$A$2:$D$121,4,FALSE())</f>
        <v>Student</v>
      </c>
      <c r="P15" s="0" t="str">
        <f aca="false">TEXT(B15,"yyyy-mm")</f>
        <v>2026-01</v>
      </c>
    </row>
    <row r="16" customFormat="false" ht="15" hidden="false" customHeight="false" outlineLevel="0" collapsed="false">
      <c r="A16" s="0" t="s">
        <v>66</v>
      </c>
      <c r="B16" s="2" t="n">
        <v>46008</v>
      </c>
      <c r="C16" s="3" t="s">
        <v>36</v>
      </c>
      <c r="D16" s="3" t="s">
        <v>28</v>
      </c>
      <c r="E16" s="3" t="s">
        <v>38</v>
      </c>
      <c r="F16" s="0" t="n">
        <v>1</v>
      </c>
      <c r="G16" s="0" t="n">
        <v>450</v>
      </c>
      <c r="H16" s="0" t="n">
        <v>5</v>
      </c>
      <c r="I16" s="3" t="s">
        <v>67</v>
      </c>
      <c r="J16" s="0" t="n">
        <v>5</v>
      </c>
      <c r="K16" s="3" t="s">
        <v>26</v>
      </c>
      <c r="L16" s="0" t="str">
        <f aca="false">VLOOKUP(D16,Products!$A$2:$D$13,2,FALSE())</f>
        <v>Electronics</v>
      </c>
      <c r="M16" s="3" t="n">
        <f aca="false">F16*G16*(1-H16/100)</f>
        <v>427.5</v>
      </c>
      <c r="N16" s="0" t="str">
        <f aca="false">VLOOKUP(I16,Customers!$A$2:$D$121,3,FALSE())</f>
        <v>Jaipur</v>
      </c>
      <c r="O16" s="0" t="str">
        <f aca="false">VLOOKUP(I16,Customers!$A$2:$D$121,4,FALSE())</f>
        <v>Corporate</v>
      </c>
      <c r="P16" s="0" t="str">
        <f aca="false">TEXT(B16,"yyyy-mm")</f>
        <v>2025-12</v>
      </c>
    </row>
    <row r="17" customFormat="false" ht="15" hidden="false" customHeight="false" outlineLevel="0" collapsed="false">
      <c r="A17" s="0" t="s">
        <v>68</v>
      </c>
      <c r="B17" s="2" t="n">
        <v>46096</v>
      </c>
      <c r="C17" s="3" t="s">
        <v>36</v>
      </c>
      <c r="D17" s="3" t="s">
        <v>18</v>
      </c>
      <c r="E17" s="3" t="s">
        <v>69</v>
      </c>
      <c r="F17" s="0" t="n">
        <v>1</v>
      </c>
      <c r="G17" s="0" t="n">
        <v>349</v>
      </c>
      <c r="H17" s="0" t="n">
        <v>5</v>
      </c>
      <c r="I17" s="3" t="s">
        <v>70</v>
      </c>
      <c r="J17" s="0" t="n">
        <v>2</v>
      </c>
      <c r="K17" s="3" t="s">
        <v>43</v>
      </c>
      <c r="L17" s="0" t="str">
        <f aca="false">VLOOKUP(D17,Products!$A$2:$D$13,2,FALSE())</f>
        <v>Home</v>
      </c>
      <c r="M17" s="3" t="n">
        <f aca="false">F17*G17*(1-H17/100)</f>
        <v>331.55</v>
      </c>
      <c r="N17" s="0" t="str">
        <f aca="false">VLOOKUP(I17,Customers!$A$2:$D$121,3,FALSE())</f>
        <v>Bhopal</v>
      </c>
      <c r="O17" s="0" t="str">
        <f aca="false">VLOOKUP(I17,Customers!$A$2:$D$121,4,FALSE())</f>
        <v>Retail</v>
      </c>
      <c r="P17" s="0" t="str">
        <f aca="false">TEXT(B17,"yyyy-mm")</f>
        <v>2026-03</v>
      </c>
    </row>
    <row r="18" customFormat="false" ht="15" hidden="false" customHeight="false" outlineLevel="0" collapsed="false">
      <c r="A18" s="0" t="s">
        <v>71</v>
      </c>
      <c r="B18" s="2" t="n">
        <v>46031</v>
      </c>
      <c r="C18" s="3" t="s">
        <v>72</v>
      </c>
      <c r="D18" s="3" t="s">
        <v>57</v>
      </c>
      <c r="E18" s="3" t="s">
        <v>73</v>
      </c>
      <c r="F18" s="0" t="n">
        <v>1</v>
      </c>
      <c r="G18" s="0" t="n">
        <v>549</v>
      </c>
      <c r="H18" s="0" t="n">
        <v>0</v>
      </c>
      <c r="I18" s="3" t="s">
        <v>74</v>
      </c>
      <c r="J18" s="0" t="n">
        <v>4</v>
      </c>
      <c r="K18" s="3" t="s">
        <v>34</v>
      </c>
      <c r="L18" s="0" t="str">
        <f aca="false">VLOOKUP(D18,Products!$A$2:$D$13,2,FALSE())</f>
        <v>Accessories</v>
      </c>
      <c r="M18" s="3" t="n">
        <f aca="false">F18*G18*(1-H18/100)</f>
        <v>549</v>
      </c>
      <c r="N18" s="0" t="str">
        <f aca="false">VLOOKUP(I18,Customers!$A$2:$D$121,3,FALSE())</f>
        <v>Lucknow</v>
      </c>
      <c r="O18" s="0" t="str">
        <f aca="false">VLOOKUP(I18,Customers!$A$2:$D$121,4,FALSE())</f>
        <v>Retail</v>
      </c>
      <c r="P18" s="0" t="str">
        <f aca="false">TEXT(B18,"yyyy-mm")</f>
        <v>2026-01</v>
      </c>
    </row>
    <row r="19" customFormat="false" ht="15" hidden="false" customHeight="false" outlineLevel="0" collapsed="false">
      <c r="A19" s="0" t="s">
        <v>75</v>
      </c>
      <c r="B19" s="2" t="n">
        <v>45970</v>
      </c>
      <c r="C19" s="3" t="s">
        <v>72</v>
      </c>
      <c r="D19" s="3" t="s">
        <v>45</v>
      </c>
      <c r="E19" s="3" t="s">
        <v>73</v>
      </c>
      <c r="F19" s="0" t="n">
        <v>2</v>
      </c>
      <c r="G19" s="0" t="n">
        <v>30</v>
      </c>
      <c r="H19" s="0" t="n">
        <v>0</v>
      </c>
      <c r="I19" s="3" t="s">
        <v>63</v>
      </c>
      <c r="J19" s="0" t="n">
        <v>1</v>
      </c>
      <c r="K19" s="3" t="s">
        <v>26</v>
      </c>
      <c r="L19" s="0" t="str">
        <f aca="false">VLOOKUP(D19,Products!$A$2:$D$13,2,FALSE())</f>
        <v>Stationery</v>
      </c>
      <c r="M19" s="3" t="n">
        <f aca="false">F19*G19*(1-H19/100)</f>
        <v>60</v>
      </c>
      <c r="N19" s="0" t="str">
        <f aca="false">VLOOKUP(I19,Customers!$A$2:$D$121,3,FALSE())</f>
        <v>Indore</v>
      </c>
      <c r="O19" s="0" t="str">
        <f aca="false">VLOOKUP(I19,Customers!$A$2:$D$121,4,FALSE())</f>
        <v>Student</v>
      </c>
      <c r="P19" s="0" t="str">
        <f aca="false">TEXT(B19,"yyyy-mm")</f>
        <v>2025-11</v>
      </c>
    </row>
    <row r="20" customFormat="false" ht="15" hidden="false" customHeight="false" outlineLevel="0" collapsed="false">
      <c r="A20" s="0" t="s">
        <v>76</v>
      </c>
      <c r="B20" s="2" t="n">
        <v>46068</v>
      </c>
      <c r="C20" s="3" t="s">
        <v>17</v>
      </c>
      <c r="D20" s="3" t="s">
        <v>57</v>
      </c>
      <c r="E20" s="3" t="s">
        <v>19</v>
      </c>
      <c r="F20" s="0" t="n">
        <v>1</v>
      </c>
      <c r="G20" s="0" t="n">
        <v>549</v>
      </c>
      <c r="H20" s="0" t="n">
        <v>0</v>
      </c>
      <c r="I20" s="3" t="s">
        <v>77</v>
      </c>
      <c r="J20" s="0" t="n">
        <v>4</v>
      </c>
      <c r="K20" s="3" t="s">
        <v>26</v>
      </c>
      <c r="L20" s="0" t="str">
        <f aca="false">VLOOKUP(D20,Products!$A$2:$D$13,2,FALSE())</f>
        <v>Accessories</v>
      </c>
      <c r="M20" s="3" t="n">
        <f aca="false">F20*G20*(1-H20/100)</f>
        <v>549</v>
      </c>
      <c r="N20" s="0" t="str">
        <f aca="false">VLOOKUP(I20,Customers!$A$2:$D$121,3,FALSE())</f>
        <v>Chennai</v>
      </c>
      <c r="O20" s="0" t="str">
        <f aca="false">VLOOKUP(I20,Customers!$A$2:$D$121,4,FALSE())</f>
        <v>Student</v>
      </c>
      <c r="P20" s="0" t="str">
        <f aca="false">TEXT(B20,"yyyy-mm")</f>
        <v>2026-02</v>
      </c>
    </row>
    <row r="21" customFormat="false" ht="15" hidden="false" customHeight="false" outlineLevel="0" collapsed="false">
      <c r="A21" s="0" t="s">
        <v>78</v>
      </c>
      <c r="B21" s="2" t="n">
        <v>46024</v>
      </c>
      <c r="C21" s="3" t="s">
        <v>36</v>
      </c>
      <c r="D21" s="3" t="s">
        <v>41</v>
      </c>
      <c r="E21" s="3" t="s">
        <v>69</v>
      </c>
      <c r="F21" s="0" t="n">
        <v>1</v>
      </c>
      <c r="G21" s="0" t="n">
        <v>399</v>
      </c>
      <c r="H21" s="0" t="n">
        <v>10</v>
      </c>
      <c r="I21" s="3" t="s">
        <v>79</v>
      </c>
      <c r="J21" s="0" t="n">
        <v>1</v>
      </c>
      <c r="K21" s="3" t="s">
        <v>43</v>
      </c>
      <c r="L21" s="0" t="str">
        <f aca="false">VLOOKUP(D21,Products!$A$2:$D$13,2,FALSE())</f>
        <v>Electronics</v>
      </c>
      <c r="M21" s="3" t="n">
        <f aca="false">F21*G21*(1-H21/100)</f>
        <v>359.1</v>
      </c>
      <c r="N21" s="0" t="str">
        <f aca="false">VLOOKUP(I21,Customers!$A$2:$D$121,3,FALSE())</f>
        <v>Bhopal</v>
      </c>
      <c r="O21" s="0" t="str">
        <f aca="false">VLOOKUP(I21,Customers!$A$2:$D$121,4,FALSE())</f>
        <v>Retail</v>
      </c>
      <c r="P21" s="0" t="str">
        <f aca="false">TEXT(B21,"yyyy-mm")</f>
        <v>2026-01</v>
      </c>
    </row>
    <row r="22" customFormat="false" ht="15" hidden="false" customHeight="false" outlineLevel="0" collapsed="false">
      <c r="A22" s="0" t="s">
        <v>80</v>
      </c>
      <c r="B22" s="2" t="n">
        <v>45933</v>
      </c>
      <c r="C22" s="3" t="s">
        <v>17</v>
      </c>
      <c r="D22" s="3" t="s">
        <v>60</v>
      </c>
      <c r="E22" s="3" t="s">
        <v>19</v>
      </c>
      <c r="F22" s="0" t="n">
        <v>2</v>
      </c>
      <c r="G22" s="0" t="n">
        <v>40</v>
      </c>
      <c r="H22" s="0" t="n">
        <v>0</v>
      </c>
      <c r="I22" s="3" t="s">
        <v>81</v>
      </c>
      <c r="J22" s="0" t="n">
        <v>2</v>
      </c>
      <c r="K22" s="3" t="s">
        <v>21</v>
      </c>
      <c r="L22" s="0" t="str">
        <f aca="false">VLOOKUP(D22,Products!$A$2:$D$13,2,FALSE())</f>
        <v>Stationery</v>
      </c>
      <c r="M22" s="3" t="n">
        <f aca="false">F22*G22*(1-H22/100)</f>
        <v>80</v>
      </c>
      <c r="N22" s="0" t="str">
        <f aca="false">VLOOKUP(I22,Customers!$A$2:$D$121,3,FALSE())</f>
        <v>Pune</v>
      </c>
      <c r="O22" s="0" t="str">
        <f aca="false">VLOOKUP(I22,Customers!$A$2:$D$121,4,FALSE())</f>
        <v>Corporate</v>
      </c>
      <c r="P22" s="0" t="str">
        <f aca="false">TEXT(B22,"yyyy-mm")</f>
        <v>2025-10</v>
      </c>
    </row>
    <row r="23" customFormat="false" ht="15" hidden="false" customHeight="false" outlineLevel="0" collapsed="false">
      <c r="A23" s="0" t="s">
        <v>82</v>
      </c>
      <c r="B23" s="2" t="n">
        <v>45783</v>
      </c>
      <c r="C23" s="3" t="s">
        <v>51</v>
      </c>
      <c r="D23" s="3" t="s">
        <v>48</v>
      </c>
      <c r="E23" s="3" t="s">
        <v>83</v>
      </c>
      <c r="F23" s="0" t="n">
        <v>1</v>
      </c>
      <c r="G23" s="0" t="n">
        <v>199</v>
      </c>
      <c r="H23" s="0" t="n">
        <v>10</v>
      </c>
      <c r="I23" s="3" t="s">
        <v>84</v>
      </c>
      <c r="J23" s="0" t="n">
        <v>2</v>
      </c>
      <c r="K23" s="3" t="s">
        <v>26</v>
      </c>
      <c r="L23" s="0" t="str">
        <f aca="false">VLOOKUP(D23,Products!$A$2:$D$13,2,FALSE())</f>
        <v>Home</v>
      </c>
      <c r="M23" s="3" t="n">
        <f aca="false">F23*G23*(1-H23/100)</f>
        <v>179.1</v>
      </c>
      <c r="N23" s="0" t="str">
        <f aca="false">VLOOKUP(I23,Customers!$A$2:$D$121,3,FALSE())</f>
        <v>Bhopal</v>
      </c>
      <c r="O23" s="0" t="str">
        <f aca="false">VLOOKUP(I23,Customers!$A$2:$D$121,4,FALSE())</f>
        <v>Student</v>
      </c>
      <c r="P23" s="0" t="str">
        <f aca="false">TEXT(B23,"yyyy-mm")</f>
        <v>2025-05</v>
      </c>
    </row>
    <row r="24" customFormat="false" ht="15" hidden="false" customHeight="false" outlineLevel="0" collapsed="false">
      <c r="A24" s="0" t="s">
        <v>85</v>
      </c>
      <c r="B24" s="2" t="n">
        <v>46058</v>
      </c>
      <c r="C24" s="3" t="s">
        <v>23</v>
      </c>
      <c r="D24" s="3" t="s">
        <v>37</v>
      </c>
      <c r="E24" s="3" t="s">
        <v>24</v>
      </c>
      <c r="F24" s="0" t="n">
        <v>1</v>
      </c>
      <c r="G24" s="0" t="n">
        <v>500</v>
      </c>
      <c r="H24" s="0" t="n">
        <v>5</v>
      </c>
      <c r="I24" s="3" t="s">
        <v>86</v>
      </c>
      <c r="J24" s="0" t="n">
        <v>5</v>
      </c>
      <c r="K24" s="3" t="s">
        <v>34</v>
      </c>
      <c r="L24" s="0" t="str">
        <f aca="false">VLOOKUP(D24,Products!$A$2:$D$13,2,FALSE())</f>
        <v>Electronics</v>
      </c>
      <c r="M24" s="3" t="n">
        <f aca="false">F24*G24*(1-H24/100)</f>
        <v>475</v>
      </c>
      <c r="N24" s="0" t="str">
        <f aca="false">VLOOKUP(I24,Customers!$A$2:$D$121,3,FALSE())</f>
        <v>Kolkata</v>
      </c>
      <c r="O24" s="0" t="str">
        <f aca="false">VLOOKUP(I24,Customers!$A$2:$D$121,4,FALSE())</f>
        <v>Student</v>
      </c>
      <c r="P24" s="0" t="str">
        <f aca="false">TEXT(B24,"yyyy-mm")</f>
        <v>2026-02</v>
      </c>
    </row>
    <row r="25" customFormat="false" ht="15" hidden="false" customHeight="false" outlineLevel="0" collapsed="false">
      <c r="A25" s="0" t="s">
        <v>87</v>
      </c>
      <c r="B25" s="2" t="n">
        <v>45972</v>
      </c>
      <c r="C25" s="3" t="s">
        <v>72</v>
      </c>
      <c r="D25" s="3" t="s">
        <v>88</v>
      </c>
      <c r="E25" s="3" t="s">
        <v>89</v>
      </c>
      <c r="F25" s="0" t="n">
        <v>1</v>
      </c>
      <c r="G25" s="0" t="n">
        <v>799</v>
      </c>
      <c r="H25" s="0" t="n">
        <v>10</v>
      </c>
      <c r="I25" s="3" t="s">
        <v>90</v>
      </c>
      <c r="J25" s="0" t="n">
        <v>2</v>
      </c>
      <c r="K25" s="3" t="s">
        <v>21</v>
      </c>
      <c r="L25" s="0" t="str">
        <f aca="false">VLOOKUP(D25,Products!$A$2:$D$13,2,FALSE())</f>
        <v>Accessories</v>
      </c>
      <c r="M25" s="3" t="n">
        <f aca="false">F25*G25*(1-H25/100)</f>
        <v>719.1</v>
      </c>
      <c r="N25" s="0" t="str">
        <f aca="false">VLOOKUP(I25,Customers!$A$2:$D$121,3,FALSE())</f>
        <v>Jaipur</v>
      </c>
      <c r="O25" s="0" t="str">
        <f aca="false">VLOOKUP(I25,Customers!$A$2:$D$121,4,FALSE())</f>
        <v>Corporate</v>
      </c>
      <c r="P25" s="0" t="str">
        <f aca="false">TEXT(B25,"yyyy-mm")</f>
        <v>2025-11</v>
      </c>
    </row>
    <row r="26" customFormat="false" ht="15" hidden="false" customHeight="false" outlineLevel="0" collapsed="false">
      <c r="A26" s="0" t="s">
        <v>91</v>
      </c>
      <c r="B26" s="2" t="n">
        <v>46049</v>
      </c>
      <c r="C26" s="3" t="s">
        <v>17</v>
      </c>
      <c r="D26" s="3" t="s">
        <v>41</v>
      </c>
      <c r="E26" s="3" t="s">
        <v>19</v>
      </c>
      <c r="F26" s="0" t="n">
        <v>2</v>
      </c>
      <c r="G26" s="0" t="n">
        <v>399</v>
      </c>
      <c r="H26" s="0" t="n">
        <v>10</v>
      </c>
      <c r="I26" s="3" t="s">
        <v>49</v>
      </c>
      <c r="J26" s="0" t="n">
        <v>4</v>
      </c>
      <c r="K26" s="3" t="s">
        <v>21</v>
      </c>
      <c r="L26" s="0" t="str">
        <f aca="false">VLOOKUP(D26,Products!$A$2:$D$13,2,FALSE())</f>
        <v>Electronics</v>
      </c>
      <c r="M26" s="3" t="n">
        <f aca="false">F26*G26*(1-H26/100)</f>
        <v>718.2</v>
      </c>
      <c r="N26" s="0" t="str">
        <f aca="false">VLOOKUP(I26,Customers!$A$2:$D$121,3,FALSE())</f>
        <v>Indore</v>
      </c>
      <c r="O26" s="0" t="str">
        <f aca="false">VLOOKUP(I26,Customers!$A$2:$D$121,4,FALSE())</f>
        <v>Student</v>
      </c>
      <c r="P26" s="0" t="str">
        <f aca="false">TEXT(B26,"yyyy-mm")</f>
        <v>2026-01</v>
      </c>
    </row>
    <row r="27" customFormat="false" ht="15" hidden="false" customHeight="false" outlineLevel="0" collapsed="false">
      <c r="A27" s="0" t="s">
        <v>92</v>
      </c>
      <c r="B27" s="2" t="n">
        <v>45865</v>
      </c>
      <c r="C27" s="3" t="s">
        <v>17</v>
      </c>
      <c r="D27" s="3" t="s">
        <v>48</v>
      </c>
      <c r="E27" s="3" t="s">
        <v>93</v>
      </c>
      <c r="F27" s="0" t="n">
        <v>3</v>
      </c>
      <c r="G27" s="0" t="n">
        <v>199</v>
      </c>
      <c r="H27" s="0" t="n">
        <v>0</v>
      </c>
      <c r="I27" s="3" t="s">
        <v>94</v>
      </c>
      <c r="J27" s="0" t="n">
        <v>1</v>
      </c>
      <c r="K27" s="3" t="s">
        <v>21</v>
      </c>
      <c r="L27" s="0" t="str">
        <f aca="false">VLOOKUP(D27,Products!$A$2:$D$13,2,FALSE())</f>
        <v>Home</v>
      </c>
      <c r="M27" s="3" t="n">
        <f aca="false">F27*G27*(1-H27/100)</f>
        <v>597</v>
      </c>
      <c r="N27" s="0" t="str">
        <f aca="false">VLOOKUP(I27,Customers!$A$2:$D$121,3,FALSE())</f>
        <v>Chennai</v>
      </c>
      <c r="O27" s="0" t="str">
        <f aca="false">VLOOKUP(I27,Customers!$A$2:$D$121,4,FALSE())</f>
        <v>Corporate</v>
      </c>
      <c r="P27" s="0" t="str">
        <f aca="false">TEXT(B27,"yyyy-mm")</f>
        <v>2025-07</v>
      </c>
    </row>
    <row r="28" customFormat="false" ht="15" hidden="false" customHeight="false" outlineLevel="0" collapsed="false">
      <c r="A28" s="0" t="s">
        <v>95</v>
      </c>
      <c r="B28" s="2" t="n">
        <v>45890</v>
      </c>
      <c r="C28" s="3" t="s">
        <v>36</v>
      </c>
      <c r="D28" s="3" t="s">
        <v>57</v>
      </c>
      <c r="E28" s="3" t="s">
        <v>38</v>
      </c>
      <c r="F28" s="0" t="n">
        <v>1</v>
      </c>
      <c r="G28" s="0" t="n">
        <v>549</v>
      </c>
      <c r="H28" s="0" t="n">
        <v>15</v>
      </c>
      <c r="I28" s="3" t="s">
        <v>96</v>
      </c>
      <c r="J28" s="0" t="n">
        <v>3</v>
      </c>
      <c r="K28" s="3" t="s">
        <v>43</v>
      </c>
      <c r="L28" s="0" t="str">
        <f aca="false">VLOOKUP(D28,Products!$A$2:$D$13,2,FALSE())</f>
        <v>Accessories</v>
      </c>
      <c r="M28" s="3" t="n">
        <f aca="false">F28*G28*(1-H28/100)</f>
        <v>466.65</v>
      </c>
      <c r="N28" s="0" t="str">
        <f aca="false">VLOOKUP(I28,Customers!$A$2:$D$121,3,FALSE())</f>
        <v>Delhi</v>
      </c>
      <c r="O28" s="0" t="str">
        <f aca="false">VLOOKUP(I28,Customers!$A$2:$D$121,4,FALSE())</f>
        <v>Retail</v>
      </c>
      <c r="P28" s="0" t="str">
        <f aca="false">TEXT(B28,"yyyy-mm")</f>
        <v>2025-08</v>
      </c>
    </row>
    <row r="29" customFormat="false" ht="15" hidden="false" customHeight="false" outlineLevel="0" collapsed="false">
      <c r="A29" s="0" t="s">
        <v>97</v>
      </c>
      <c r="B29" s="2" t="n">
        <v>45956</v>
      </c>
      <c r="C29" s="3" t="s">
        <v>51</v>
      </c>
      <c r="D29" s="3" t="s">
        <v>28</v>
      </c>
      <c r="E29" s="3" t="s">
        <v>83</v>
      </c>
      <c r="F29" s="0" t="n">
        <v>2</v>
      </c>
      <c r="G29" s="0" t="n">
        <v>450</v>
      </c>
      <c r="H29" s="0" t="n">
        <v>0</v>
      </c>
      <c r="I29" s="3" t="s">
        <v>98</v>
      </c>
      <c r="J29" s="0" t="n">
        <v>2</v>
      </c>
      <c r="K29" s="3" t="s">
        <v>34</v>
      </c>
      <c r="L29" s="0" t="str">
        <f aca="false">VLOOKUP(D29,Products!$A$2:$D$13,2,FALSE())</f>
        <v>Electronics</v>
      </c>
      <c r="M29" s="3" t="n">
        <f aca="false">F29*G29*(1-H29/100)</f>
        <v>900</v>
      </c>
      <c r="N29" s="0" t="str">
        <f aca="false">VLOOKUP(I29,Customers!$A$2:$D$121,3,FALSE())</f>
        <v>Pune</v>
      </c>
      <c r="O29" s="0" t="str">
        <f aca="false">VLOOKUP(I29,Customers!$A$2:$D$121,4,FALSE())</f>
        <v>Retail</v>
      </c>
      <c r="P29" s="0" t="str">
        <f aca="false">TEXT(B29,"yyyy-mm")</f>
        <v>2025-10</v>
      </c>
    </row>
    <row r="30" customFormat="false" ht="15" hidden="false" customHeight="false" outlineLevel="0" collapsed="false">
      <c r="A30" s="0" t="s">
        <v>99</v>
      </c>
      <c r="B30" s="2" t="n">
        <v>45987</v>
      </c>
      <c r="C30" s="3" t="s">
        <v>51</v>
      </c>
      <c r="D30" s="3" t="s">
        <v>88</v>
      </c>
      <c r="E30" s="3" t="s">
        <v>52</v>
      </c>
      <c r="F30" s="0" t="n">
        <v>2</v>
      </c>
      <c r="G30" s="0" t="n">
        <v>799</v>
      </c>
      <c r="H30" s="0" t="n">
        <v>15</v>
      </c>
      <c r="I30" s="3" t="s">
        <v>100</v>
      </c>
      <c r="J30" s="0" t="n">
        <v>4</v>
      </c>
      <c r="K30" s="3" t="s">
        <v>21</v>
      </c>
      <c r="L30" s="0" t="str">
        <f aca="false">VLOOKUP(D30,Products!$A$2:$D$13,2,FALSE())</f>
        <v>Accessories</v>
      </c>
      <c r="M30" s="3" t="n">
        <f aca="false">F30*G30*(1-H30/100)</f>
        <v>1358.3</v>
      </c>
      <c r="N30" s="0" t="str">
        <f aca="false">VLOOKUP(I30,Customers!$A$2:$D$121,3,FALSE())</f>
        <v>Nagpur</v>
      </c>
      <c r="O30" s="0" t="str">
        <f aca="false">VLOOKUP(I30,Customers!$A$2:$D$121,4,FALSE())</f>
        <v>Retail</v>
      </c>
      <c r="P30" s="0" t="str">
        <f aca="false">TEXT(B30,"yyyy-mm")</f>
        <v>2025-11</v>
      </c>
    </row>
    <row r="31" customFormat="false" ht="15" hidden="false" customHeight="false" outlineLevel="0" collapsed="false">
      <c r="A31" s="0" t="s">
        <v>101</v>
      </c>
      <c r="B31" s="2" t="n">
        <v>45803</v>
      </c>
      <c r="C31" s="3" t="s">
        <v>72</v>
      </c>
      <c r="D31" s="3" t="s">
        <v>88</v>
      </c>
      <c r="E31" s="3" t="s">
        <v>73</v>
      </c>
      <c r="F31" s="0" t="n">
        <v>1</v>
      </c>
      <c r="G31" s="0" t="n">
        <v>799</v>
      </c>
      <c r="H31" s="0" t="n">
        <v>0</v>
      </c>
      <c r="I31" s="3" t="s">
        <v>102</v>
      </c>
      <c r="J31" s="0" t="n">
        <v>3</v>
      </c>
      <c r="K31" s="3" t="s">
        <v>26</v>
      </c>
      <c r="L31" s="0" t="str">
        <f aca="false">VLOOKUP(D31,Products!$A$2:$D$13,2,FALSE())</f>
        <v>Accessories</v>
      </c>
      <c r="M31" s="3" t="n">
        <f aca="false">F31*G31*(1-H31/100)</f>
        <v>799</v>
      </c>
      <c r="N31" s="0" t="str">
        <f aca="false">VLOOKUP(I31,Customers!$A$2:$D$121,3,FALSE())</f>
        <v>Jaipur</v>
      </c>
      <c r="O31" s="0" t="str">
        <f aca="false">VLOOKUP(I31,Customers!$A$2:$D$121,4,FALSE())</f>
        <v>Corporate</v>
      </c>
      <c r="P31" s="0" t="str">
        <f aca="false">TEXT(B31,"yyyy-mm")</f>
        <v>2025-05</v>
      </c>
    </row>
    <row r="32" customFormat="false" ht="15" hidden="false" customHeight="false" outlineLevel="0" collapsed="false">
      <c r="A32" s="0" t="s">
        <v>103</v>
      </c>
      <c r="B32" s="2" t="n">
        <v>45890</v>
      </c>
      <c r="C32" s="3" t="s">
        <v>36</v>
      </c>
      <c r="D32" s="3" t="s">
        <v>88</v>
      </c>
      <c r="E32" s="3" t="s">
        <v>38</v>
      </c>
      <c r="F32" s="0" t="n">
        <v>2</v>
      </c>
      <c r="G32" s="0" t="n">
        <v>799</v>
      </c>
      <c r="H32" s="0" t="n">
        <v>5</v>
      </c>
      <c r="I32" s="3" t="s">
        <v>104</v>
      </c>
      <c r="J32" s="0" t="n">
        <v>5</v>
      </c>
      <c r="K32" s="3" t="s">
        <v>43</v>
      </c>
      <c r="L32" s="0" t="str">
        <f aca="false">VLOOKUP(D32,Products!$A$2:$D$13,2,FALSE())</f>
        <v>Accessories</v>
      </c>
      <c r="M32" s="3" t="n">
        <f aca="false">F32*G32*(1-H32/100)</f>
        <v>1518.1</v>
      </c>
      <c r="N32" s="0" t="str">
        <f aca="false">VLOOKUP(I32,Customers!$A$2:$D$121,3,FALSE())</f>
        <v>Lucknow</v>
      </c>
      <c r="O32" s="0" t="str">
        <f aca="false">VLOOKUP(I32,Customers!$A$2:$D$121,4,FALSE())</f>
        <v>Student</v>
      </c>
      <c r="P32" s="0" t="str">
        <f aca="false">TEXT(B32,"yyyy-mm")</f>
        <v>2025-08</v>
      </c>
    </row>
    <row r="33" customFormat="false" ht="15" hidden="false" customHeight="false" outlineLevel="0" collapsed="false">
      <c r="A33" s="0" t="s">
        <v>105</v>
      </c>
      <c r="B33" s="2" t="n">
        <v>45773</v>
      </c>
      <c r="C33" s="3" t="s">
        <v>17</v>
      </c>
      <c r="D33" s="3" t="s">
        <v>57</v>
      </c>
      <c r="E33" s="3" t="s">
        <v>19</v>
      </c>
      <c r="F33" s="0" t="n">
        <v>1</v>
      </c>
      <c r="G33" s="0" t="n">
        <v>549</v>
      </c>
      <c r="H33" s="0" t="n">
        <v>15</v>
      </c>
      <c r="I33" s="3" t="s">
        <v>106</v>
      </c>
      <c r="J33" s="0" t="n">
        <v>5</v>
      </c>
      <c r="K33" s="3" t="s">
        <v>26</v>
      </c>
      <c r="L33" s="0" t="str">
        <f aca="false">VLOOKUP(D33,Products!$A$2:$D$13,2,FALSE())</f>
        <v>Accessories</v>
      </c>
      <c r="M33" s="3" t="n">
        <f aca="false">F33*G33*(1-H33/100)</f>
        <v>466.65</v>
      </c>
      <c r="N33" s="0" t="str">
        <f aca="false">VLOOKUP(I33,Customers!$A$2:$D$121,3,FALSE())</f>
        <v>Bhopal</v>
      </c>
      <c r="O33" s="0" t="str">
        <f aca="false">VLOOKUP(I33,Customers!$A$2:$D$121,4,FALSE())</f>
        <v>Corporate</v>
      </c>
      <c r="P33" s="0" t="str">
        <f aca="false">TEXT(B33,"yyyy-mm")</f>
        <v>2025-04</v>
      </c>
    </row>
    <row r="34" customFormat="false" ht="15" hidden="false" customHeight="false" outlineLevel="0" collapsed="false">
      <c r="A34" s="0" t="s">
        <v>107</v>
      </c>
      <c r="B34" s="2" t="n">
        <v>45996</v>
      </c>
      <c r="C34" s="3" t="s">
        <v>51</v>
      </c>
      <c r="D34" s="3" t="s">
        <v>108</v>
      </c>
      <c r="E34" s="3" t="s">
        <v>52</v>
      </c>
      <c r="F34" s="0" t="n">
        <v>1</v>
      </c>
      <c r="G34" s="0" t="n">
        <v>180</v>
      </c>
      <c r="H34" s="0" t="n">
        <v>5</v>
      </c>
      <c r="I34" s="3" t="s">
        <v>86</v>
      </c>
      <c r="J34" s="0" t="n">
        <v>5</v>
      </c>
      <c r="K34" s="3" t="s">
        <v>26</v>
      </c>
      <c r="L34" s="0" t="str">
        <f aca="false">VLOOKUP(D34,Products!$A$2:$D$13,2,FALSE())</f>
        <v>Stationery</v>
      </c>
      <c r="M34" s="3" t="n">
        <f aca="false">F34*G34*(1-H34/100)</f>
        <v>171</v>
      </c>
      <c r="N34" s="0" t="str">
        <f aca="false">VLOOKUP(I34,Customers!$A$2:$D$121,3,FALSE())</f>
        <v>Kolkata</v>
      </c>
      <c r="O34" s="0" t="str">
        <f aca="false">VLOOKUP(I34,Customers!$A$2:$D$121,4,FALSE())</f>
        <v>Student</v>
      </c>
      <c r="P34" s="0" t="str">
        <f aca="false">TEXT(B34,"yyyy-mm")</f>
        <v>2025-12</v>
      </c>
    </row>
    <row r="35" customFormat="false" ht="15" hidden="false" customHeight="false" outlineLevel="0" collapsed="false">
      <c r="A35" s="0" t="s">
        <v>109</v>
      </c>
      <c r="B35" s="2" t="n">
        <v>45947</v>
      </c>
      <c r="C35" s="3" t="s">
        <v>17</v>
      </c>
      <c r="D35" s="3" t="s">
        <v>88</v>
      </c>
      <c r="E35" s="3" t="s">
        <v>93</v>
      </c>
      <c r="F35" s="0" t="n">
        <v>5</v>
      </c>
      <c r="G35" s="0" t="n">
        <v>799</v>
      </c>
      <c r="H35" s="0" t="n">
        <v>0</v>
      </c>
      <c r="I35" s="3" t="s">
        <v>110</v>
      </c>
      <c r="J35" s="0" t="n">
        <v>5</v>
      </c>
      <c r="K35" s="3" t="s">
        <v>34</v>
      </c>
      <c r="L35" s="0" t="str">
        <f aca="false">VLOOKUP(D35,Products!$A$2:$D$13,2,FALSE())</f>
        <v>Accessories</v>
      </c>
      <c r="M35" s="3" t="n">
        <f aca="false">F35*G35*(1-H35/100)</f>
        <v>3995</v>
      </c>
      <c r="N35" s="0" t="str">
        <f aca="false">VLOOKUP(I35,Customers!$A$2:$D$121,3,FALSE())</f>
        <v>Pune</v>
      </c>
      <c r="O35" s="0" t="str">
        <f aca="false">VLOOKUP(I35,Customers!$A$2:$D$121,4,FALSE())</f>
        <v>Retail</v>
      </c>
      <c r="P35" s="0" t="str">
        <f aca="false">TEXT(B35,"yyyy-mm")</f>
        <v>2025-10</v>
      </c>
    </row>
    <row r="36" customFormat="false" ht="15" hidden="false" customHeight="false" outlineLevel="0" collapsed="false">
      <c r="A36" s="0" t="s">
        <v>111</v>
      </c>
      <c r="B36" s="2" t="n">
        <v>46086</v>
      </c>
      <c r="C36" s="3" t="s">
        <v>23</v>
      </c>
      <c r="D36" s="3" t="s">
        <v>88</v>
      </c>
      <c r="E36" s="3" t="s">
        <v>29</v>
      </c>
      <c r="F36" s="0" t="n">
        <v>6</v>
      </c>
      <c r="G36" s="0" t="n">
        <v>799</v>
      </c>
      <c r="H36" s="0" t="n">
        <v>15</v>
      </c>
      <c r="I36" s="3" t="s">
        <v>96</v>
      </c>
      <c r="J36" s="0" t="n">
        <v>3</v>
      </c>
      <c r="K36" s="3" t="s">
        <v>26</v>
      </c>
      <c r="L36" s="0" t="str">
        <f aca="false">VLOOKUP(D36,Products!$A$2:$D$13,2,FALSE())</f>
        <v>Accessories</v>
      </c>
      <c r="M36" s="3" t="n">
        <f aca="false">F36*G36*(1-H36/100)</f>
        <v>4074.9</v>
      </c>
      <c r="N36" s="0" t="str">
        <f aca="false">VLOOKUP(I36,Customers!$A$2:$D$121,3,FALSE())</f>
        <v>Delhi</v>
      </c>
      <c r="O36" s="0" t="str">
        <f aca="false">VLOOKUP(I36,Customers!$A$2:$D$121,4,FALSE())</f>
        <v>Retail</v>
      </c>
      <c r="P36" s="0" t="str">
        <f aca="false">TEXT(B36,"yyyy-mm")</f>
        <v>2026-03</v>
      </c>
    </row>
    <row r="37" customFormat="false" ht="15" hidden="false" customHeight="false" outlineLevel="0" collapsed="false">
      <c r="A37" s="0" t="s">
        <v>112</v>
      </c>
      <c r="B37" s="2" t="n">
        <v>46025</v>
      </c>
      <c r="C37" s="3" t="s">
        <v>23</v>
      </c>
      <c r="D37" s="3" t="s">
        <v>60</v>
      </c>
      <c r="E37" s="3" t="s">
        <v>24</v>
      </c>
      <c r="F37" s="0" t="n">
        <v>3</v>
      </c>
      <c r="G37" s="0" t="n">
        <v>40</v>
      </c>
      <c r="H37" s="0" t="n">
        <v>0</v>
      </c>
      <c r="I37" s="3" t="s">
        <v>65</v>
      </c>
      <c r="J37" s="0" t="n">
        <v>3</v>
      </c>
      <c r="K37" s="3" t="s">
        <v>43</v>
      </c>
      <c r="L37" s="0" t="str">
        <f aca="false">VLOOKUP(D37,Products!$A$2:$D$13,2,FALSE())</f>
        <v>Stationery</v>
      </c>
      <c r="M37" s="3" t="n">
        <f aca="false">F37*G37*(1-H37/100)</f>
        <v>120</v>
      </c>
      <c r="N37" s="0" t="str">
        <f aca="false">VLOOKUP(I37,Customers!$A$2:$D$121,3,FALSE())</f>
        <v>Jaipur</v>
      </c>
      <c r="O37" s="0" t="str">
        <f aca="false">VLOOKUP(I37,Customers!$A$2:$D$121,4,FALSE())</f>
        <v>Student</v>
      </c>
      <c r="P37" s="0" t="str">
        <f aca="false">TEXT(B37,"yyyy-mm")</f>
        <v>2026-01</v>
      </c>
    </row>
    <row r="38" customFormat="false" ht="15" hidden="false" customHeight="false" outlineLevel="0" collapsed="false">
      <c r="A38" s="0" t="s">
        <v>113</v>
      </c>
      <c r="B38" s="2" t="n">
        <v>45828</v>
      </c>
      <c r="C38" s="3" t="s">
        <v>23</v>
      </c>
      <c r="D38" s="3" t="s">
        <v>57</v>
      </c>
      <c r="E38" s="3" t="s">
        <v>24</v>
      </c>
      <c r="F38" s="0" t="n">
        <v>1</v>
      </c>
      <c r="G38" s="0" t="n">
        <v>549</v>
      </c>
      <c r="H38" s="0" t="n">
        <v>0</v>
      </c>
      <c r="I38" s="3" t="s">
        <v>114</v>
      </c>
      <c r="J38" s="0" t="n">
        <v>2</v>
      </c>
      <c r="K38" s="3" t="s">
        <v>21</v>
      </c>
      <c r="L38" s="0" t="str">
        <f aca="false">VLOOKUP(D38,Products!$A$2:$D$13,2,FALSE())</f>
        <v>Accessories</v>
      </c>
      <c r="M38" s="3" t="n">
        <f aca="false">F38*G38*(1-H38/100)</f>
        <v>549</v>
      </c>
      <c r="N38" s="0" t="str">
        <f aca="false">VLOOKUP(I38,Customers!$A$2:$D$121,3,FALSE())</f>
        <v>Lucknow</v>
      </c>
      <c r="O38" s="0" t="str">
        <f aca="false">VLOOKUP(I38,Customers!$A$2:$D$121,4,FALSE())</f>
        <v>Retail</v>
      </c>
      <c r="P38" s="0" t="str">
        <f aca="false">TEXT(B38,"yyyy-mm")</f>
        <v>2025-06</v>
      </c>
    </row>
    <row r="39" customFormat="false" ht="15" hidden="false" customHeight="false" outlineLevel="0" collapsed="false">
      <c r="A39" s="0" t="s">
        <v>115</v>
      </c>
      <c r="B39" s="2" t="n">
        <v>46093</v>
      </c>
      <c r="C39" s="3" t="s">
        <v>17</v>
      </c>
      <c r="D39" s="3" t="s">
        <v>116</v>
      </c>
      <c r="E39" s="3" t="s">
        <v>19</v>
      </c>
      <c r="F39" s="0" t="n">
        <v>1</v>
      </c>
      <c r="G39" s="0" t="n">
        <v>699</v>
      </c>
      <c r="H39" s="0" t="n">
        <v>0</v>
      </c>
      <c r="I39" s="3" t="s">
        <v>61</v>
      </c>
      <c r="J39" s="0" t="n">
        <v>2</v>
      </c>
      <c r="K39" s="3" t="s">
        <v>21</v>
      </c>
      <c r="L39" s="0" t="str">
        <f aca="false">VLOOKUP(D39,Products!$A$2:$D$13,2,FALSE())</f>
        <v>Home</v>
      </c>
      <c r="M39" s="3" t="n">
        <f aca="false">F39*G39*(1-H39/100)</f>
        <v>699</v>
      </c>
      <c r="N39" s="0" t="str">
        <f aca="false">VLOOKUP(I39,Customers!$A$2:$D$121,3,FALSE())</f>
        <v>Delhi</v>
      </c>
      <c r="O39" s="0" t="str">
        <f aca="false">VLOOKUP(I39,Customers!$A$2:$D$121,4,FALSE())</f>
        <v>Retail</v>
      </c>
      <c r="P39" s="0" t="str">
        <f aca="false">TEXT(B39,"yyyy-mm")</f>
        <v>2026-03</v>
      </c>
    </row>
    <row r="40" customFormat="false" ht="15" hidden="false" customHeight="false" outlineLevel="0" collapsed="false">
      <c r="A40" s="0" t="s">
        <v>117</v>
      </c>
      <c r="B40" s="2" t="n">
        <v>45962</v>
      </c>
      <c r="C40" s="3" t="s">
        <v>17</v>
      </c>
      <c r="D40" s="3" t="s">
        <v>116</v>
      </c>
      <c r="E40" s="3" t="s">
        <v>93</v>
      </c>
      <c r="F40" s="0" t="n">
        <v>2</v>
      </c>
      <c r="G40" s="0" t="n">
        <v>699</v>
      </c>
      <c r="H40" s="0" t="n">
        <v>15</v>
      </c>
      <c r="I40" s="3" t="s">
        <v>118</v>
      </c>
      <c r="J40" s="0" t="n">
        <v>4</v>
      </c>
      <c r="K40" s="3" t="s">
        <v>34</v>
      </c>
      <c r="L40" s="0" t="str">
        <f aca="false">VLOOKUP(D40,Products!$A$2:$D$13,2,FALSE())</f>
        <v>Home</v>
      </c>
      <c r="M40" s="3" t="n">
        <f aca="false">F40*G40*(1-H40/100)</f>
        <v>1188.3</v>
      </c>
      <c r="N40" s="0" t="str">
        <f aca="false">VLOOKUP(I40,Customers!$A$2:$D$121,3,FALSE())</f>
        <v>Indore</v>
      </c>
      <c r="O40" s="0" t="str">
        <f aca="false">VLOOKUP(I40,Customers!$A$2:$D$121,4,FALSE())</f>
        <v>Retail</v>
      </c>
      <c r="P40" s="0" t="str">
        <f aca="false">TEXT(B40,"yyyy-mm")</f>
        <v>2025-11</v>
      </c>
    </row>
    <row r="41" customFormat="false" ht="15" hidden="false" customHeight="false" outlineLevel="0" collapsed="false">
      <c r="A41" s="0" t="s">
        <v>119</v>
      </c>
      <c r="B41" s="2" t="n">
        <v>45870</v>
      </c>
      <c r="C41" s="3" t="s">
        <v>72</v>
      </c>
      <c r="D41" s="3" t="s">
        <v>28</v>
      </c>
      <c r="E41" s="3" t="s">
        <v>73</v>
      </c>
      <c r="F41" s="0" t="n">
        <v>1</v>
      </c>
      <c r="G41" s="0" t="n">
        <v>450</v>
      </c>
      <c r="H41" s="0" t="n">
        <v>0</v>
      </c>
      <c r="I41" s="3" t="s">
        <v>120</v>
      </c>
      <c r="J41" s="0" t="n">
        <v>3</v>
      </c>
      <c r="K41" s="3" t="s">
        <v>43</v>
      </c>
      <c r="L41" s="0" t="str">
        <f aca="false">VLOOKUP(D41,Products!$A$2:$D$13,2,FALSE())</f>
        <v>Electronics</v>
      </c>
      <c r="M41" s="3" t="n">
        <f aca="false">F41*G41*(1-H41/100)</f>
        <v>450</v>
      </c>
      <c r="N41" s="0" t="str">
        <f aca="false">VLOOKUP(I41,Customers!$A$2:$D$121,3,FALSE())</f>
        <v>Bhopal</v>
      </c>
      <c r="O41" s="0" t="str">
        <f aca="false">VLOOKUP(I41,Customers!$A$2:$D$121,4,FALSE())</f>
        <v>Retail</v>
      </c>
      <c r="P41" s="0" t="str">
        <f aca="false">TEXT(B41,"yyyy-mm")</f>
        <v>2025-08</v>
      </c>
    </row>
    <row r="42" customFormat="false" ht="15" hidden="false" customHeight="false" outlineLevel="0" collapsed="false">
      <c r="A42" s="0" t="s">
        <v>121</v>
      </c>
      <c r="B42" s="2" t="n">
        <v>45752</v>
      </c>
      <c r="C42" s="3" t="s">
        <v>17</v>
      </c>
      <c r="D42" s="3" t="s">
        <v>41</v>
      </c>
      <c r="E42" s="3" t="s">
        <v>19</v>
      </c>
      <c r="F42" s="0" t="n">
        <v>1</v>
      </c>
      <c r="G42" s="0" t="n">
        <v>399</v>
      </c>
      <c r="H42" s="0" t="n">
        <v>5</v>
      </c>
      <c r="I42" s="3" t="s">
        <v>46</v>
      </c>
      <c r="J42" s="0" t="n">
        <v>5</v>
      </c>
      <c r="K42" s="3" t="s">
        <v>21</v>
      </c>
      <c r="L42" s="0" t="str">
        <f aca="false">VLOOKUP(D42,Products!$A$2:$D$13,2,FALSE())</f>
        <v>Electronics</v>
      </c>
      <c r="M42" s="3" t="n">
        <f aca="false">F42*G42*(1-H42/100)</f>
        <v>379.05</v>
      </c>
      <c r="N42" s="0" t="str">
        <f aca="false">VLOOKUP(I42,Customers!$A$2:$D$121,3,FALSE())</f>
        <v>Indore</v>
      </c>
      <c r="O42" s="0" t="str">
        <f aca="false">VLOOKUP(I42,Customers!$A$2:$D$121,4,FALSE())</f>
        <v>Student</v>
      </c>
      <c r="P42" s="0" t="str">
        <f aca="false">TEXT(B42,"yyyy-mm")</f>
        <v>2025-04</v>
      </c>
    </row>
    <row r="43" customFormat="false" ht="15" hidden="false" customHeight="false" outlineLevel="0" collapsed="false">
      <c r="A43" s="0" t="s">
        <v>122</v>
      </c>
      <c r="B43" s="2" t="n">
        <v>46007</v>
      </c>
      <c r="C43" s="3" t="s">
        <v>36</v>
      </c>
      <c r="D43" s="3" t="s">
        <v>57</v>
      </c>
      <c r="E43" s="3" t="s">
        <v>38</v>
      </c>
      <c r="F43" s="0" t="n">
        <v>2</v>
      </c>
      <c r="G43" s="0" t="n">
        <v>549</v>
      </c>
      <c r="H43" s="0" t="n">
        <v>0</v>
      </c>
      <c r="I43" s="3" t="s">
        <v>123</v>
      </c>
      <c r="J43" s="0" t="n">
        <v>5</v>
      </c>
      <c r="K43" s="3" t="s">
        <v>26</v>
      </c>
      <c r="L43" s="0" t="str">
        <f aca="false">VLOOKUP(D43,Products!$A$2:$D$13,2,FALSE())</f>
        <v>Accessories</v>
      </c>
      <c r="M43" s="3" t="n">
        <f aca="false">F43*G43*(1-H43/100)</f>
        <v>1098</v>
      </c>
      <c r="N43" s="0" t="str">
        <f aca="false">VLOOKUP(I43,Customers!$A$2:$D$121,3,FALSE())</f>
        <v>Chennai</v>
      </c>
      <c r="O43" s="0" t="str">
        <f aca="false">VLOOKUP(I43,Customers!$A$2:$D$121,4,FALSE())</f>
        <v>Student</v>
      </c>
      <c r="P43" s="0" t="str">
        <f aca="false">TEXT(B43,"yyyy-mm")</f>
        <v>2025-12</v>
      </c>
    </row>
    <row r="44" customFormat="false" ht="15" hidden="false" customHeight="false" outlineLevel="0" collapsed="false">
      <c r="A44" s="0" t="s">
        <v>124</v>
      </c>
      <c r="B44" s="2" t="n">
        <v>45828</v>
      </c>
      <c r="C44" s="3" t="s">
        <v>72</v>
      </c>
      <c r="D44" s="3" t="s">
        <v>41</v>
      </c>
      <c r="E44" s="3" t="s">
        <v>73</v>
      </c>
      <c r="F44" s="0" t="n">
        <v>1</v>
      </c>
      <c r="G44" s="0" t="n">
        <v>399</v>
      </c>
      <c r="H44" s="0" t="n">
        <v>5</v>
      </c>
      <c r="I44" s="3" t="s">
        <v>125</v>
      </c>
      <c r="J44" s="0" t="n">
        <v>4</v>
      </c>
      <c r="K44" s="3" t="s">
        <v>21</v>
      </c>
      <c r="L44" s="0" t="str">
        <f aca="false">VLOOKUP(D44,Products!$A$2:$D$13,2,FALSE())</f>
        <v>Electronics</v>
      </c>
      <c r="M44" s="3" t="n">
        <f aca="false">F44*G44*(1-H44/100)</f>
        <v>379.05</v>
      </c>
      <c r="N44" s="0" t="str">
        <f aca="false">VLOOKUP(I44,Customers!$A$2:$D$121,3,FALSE())</f>
        <v>Lucknow</v>
      </c>
      <c r="O44" s="0" t="str">
        <f aca="false">VLOOKUP(I44,Customers!$A$2:$D$121,4,FALSE())</f>
        <v>Student</v>
      </c>
      <c r="P44" s="0" t="str">
        <f aca="false">TEXT(B44,"yyyy-mm")</f>
        <v>2025-06</v>
      </c>
    </row>
    <row r="45" customFormat="false" ht="15" hidden="false" customHeight="false" outlineLevel="0" collapsed="false">
      <c r="A45" s="0" t="s">
        <v>126</v>
      </c>
      <c r="B45" s="2" t="n">
        <v>45901</v>
      </c>
      <c r="C45" s="3" t="s">
        <v>23</v>
      </c>
      <c r="D45" s="3" t="s">
        <v>18</v>
      </c>
      <c r="E45" s="3" t="s">
        <v>24</v>
      </c>
      <c r="F45" s="0" t="n">
        <v>5</v>
      </c>
      <c r="G45" s="0" t="n">
        <v>349</v>
      </c>
      <c r="H45" s="0" t="n">
        <v>15</v>
      </c>
      <c r="I45" s="3" t="s">
        <v>39</v>
      </c>
      <c r="J45" s="0" t="n">
        <v>5</v>
      </c>
      <c r="K45" s="3" t="s">
        <v>34</v>
      </c>
      <c r="L45" s="0" t="str">
        <f aca="false">VLOOKUP(D45,Products!$A$2:$D$13,2,FALSE())</f>
        <v>Home</v>
      </c>
      <c r="M45" s="3" t="n">
        <f aca="false">F45*G45*(1-H45/100)</f>
        <v>1483.25</v>
      </c>
      <c r="N45" s="0" t="str">
        <f aca="false">VLOOKUP(I45,Customers!$A$2:$D$121,3,FALSE())</f>
        <v>Chennai</v>
      </c>
      <c r="O45" s="0" t="str">
        <f aca="false">VLOOKUP(I45,Customers!$A$2:$D$121,4,FALSE())</f>
        <v>Retail</v>
      </c>
      <c r="P45" s="0" t="str">
        <f aca="false">TEXT(B45,"yyyy-mm")</f>
        <v>2025-09</v>
      </c>
    </row>
    <row r="46" customFormat="false" ht="15" hidden="false" customHeight="false" outlineLevel="0" collapsed="false">
      <c r="A46" s="0" t="s">
        <v>127</v>
      </c>
      <c r="B46" s="2" t="n">
        <v>46006</v>
      </c>
      <c r="C46" s="3" t="s">
        <v>72</v>
      </c>
      <c r="D46" s="3" t="s">
        <v>28</v>
      </c>
      <c r="E46" s="3" t="s">
        <v>89</v>
      </c>
      <c r="F46" s="0" t="n">
        <v>2</v>
      </c>
      <c r="G46" s="0" t="n">
        <v>450</v>
      </c>
      <c r="H46" s="0" t="n">
        <v>5</v>
      </c>
      <c r="I46" s="3" t="s">
        <v>128</v>
      </c>
      <c r="J46" s="0" t="n">
        <v>5</v>
      </c>
      <c r="K46" s="3" t="s">
        <v>21</v>
      </c>
      <c r="L46" s="0" t="str">
        <f aca="false">VLOOKUP(D46,Products!$A$2:$D$13,2,FALSE())</f>
        <v>Electronics</v>
      </c>
      <c r="M46" s="3" t="n">
        <f aca="false">F46*G46*(1-H46/100)</f>
        <v>855</v>
      </c>
      <c r="N46" s="0" t="str">
        <f aca="false">VLOOKUP(I46,Customers!$A$2:$D$121,3,FALSE())</f>
        <v>Indore</v>
      </c>
      <c r="O46" s="0" t="str">
        <f aca="false">VLOOKUP(I46,Customers!$A$2:$D$121,4,FALSE())</f>
        <v>Corporate</v>
      </c>
      <c r="P46" s="0" t="str">
        <f aca="false">TEXT(B46,"yyyy-mm")</f>
        <v>2025-12</v>
      </c>
    </row>
    <row r="47" customFormat="false" ht="15" hidden="false" customHeight="false" outlineLevel="0" collapsed="false">
      <c r="A47" s="0" t="s">
        <v>129</v>
      </c>
      <c r="B47" s="2" t="n">
        <v>45889</v>
      </c>
      <c r="C47" s="3" t="s">
        <v>51</v>
      </c>
      <c r="D47" s="3" t="s">
        <v>18</v>
      </c>
      <c r="E47" s="3" t="s">
        <v>52</v>
      </c>
      <c r="F47" s="0" t="n">
        <v>1</v>
      </c>
      <c r="G47" s="0" t="n">
        <v>349</v>
      </c>
      <c r="H47" s="0" t="n">
        <v>0</v>
      </c>
      <c r="I47" s="3" t="s">
        <v>130</v>
      </c>
      <c r="J47" s="0" t="n">
        <v>4</v>
      </c>
      <c r="K47" s="3" t="s">
        <v>34</v>
      </c>
      <c r="L47" s="0" t="str">
        <f aca="false">VLOOKUP(D47,Products!$A$2:$D$13,2,FALSE())</f>
        <v>Home</v>
      </c>
      <c r="M47" s="3" t="n">
        <f aca="false">F47*G47*(1-H47/100)</f>
        <v>349</v>
      </c>
      <c r="N47" s="0" t="str">
        <f aca="false">VLOOKUP(I47,Customers!$A$2:$D$121,3,FALSE())</f>
        <v>Nagpur</v>
      </c>
      <c r="O47" s="0" t="str">
        <f aca="false">VLOOKUP(I47,Customers!$A$2:$D$121,4,FALSE())</f>
        <v>Retail</v>
      </c>
      <c r="P47" s="0" t="str">
        <f aca="false">TEXT(B47,"yyyy-mm")</f>
        <v>2025-08</v>
      </c>
    </row>
    <row r="48" customFormat="false" ht="15" hidden="false" customHeight="false" outlineLevel="0" collapsed="false">
      <c r="A48" s="0" t="s">
        <v>131</v>
      </c>
      <c r="B48" s="2" t="n">
        <v>46030</v>
      </c>
      <c r="C48" s="3" t="s">
        <v>51</v>
      </c>
      <c r="D48" s="3" t="s">
        <v>108</v>
      </c>
      <c r="E48" s="3" t="s">
        <v>52</v>
      </c>
      <c r="F48" s="0" t="n">
        <v>2</v>
      </c>
      <c r="G48" s="0" t="n">
        <v>180</v>
      </c>
      <c r="H48" s="0" t="n">
        <v>15</v>
      </c>
      <c r="I48" s="3" t="s">
        <v>25</v>
      </c>
      <c r="J48" s="0" t="n">
        <v>4</v>
      </c>
      <c r="K48" s="3" t="s">
        <v>21</v>
      </c>
      <c r="L48" s="0" t="str">
        <f aca="false">VLOOKUP(D48,Products!$A$2:$D$13,2,FALSE())</f>
        <v>Stationery</v>
      </c>
      <c r="M48" s="3" t="n">
        <f aca="false">F48*G48*(1-H48/100)</f>
        <v>306</v>
      </c>
      <c r="N48" s="0" t="str">
        <f aca="false">VLOOKUP(I48,Customers!$A$2:$D$121,3,FALSE())</f>
        <v>Indore</v>
      </c>
      <c r="O48" s="0" t="str">
        <f aca="false">VLOOKUP(I48,Customers!$A$2:$D$121,4,FALSE())</f>
        <v>Corporate</v>
      </c>
      <c r="P48" s="0" t="str">
        <f aca="false">TEXT(B48,"yyyy-mm")</f>
        <v>2026-01</v>
      </c>
    </row>
    <row r="49" customFormat="false" ht="15" hidden="false" customHeight="false" outlineLevel="0" collapsed="false">
      <c r="A49" s="0" t="s">
        <v>132</v>
      </c>
      <c r="B49" s="2" t="n">
        <v>46027</v>
      </c>
      <c r="C49" s="3" t="s">
        <v>36</v>
      </c>
      <c r="D49" s="3" t="s">
        <v>48</v>
      </c>
      <c r="E49" s="3" t="s">
        <v>38</v>
      </c>
      <c r="F49" s="0" t="n">
        <v>2</v>
      </c>
      <c r="G49" s="0" t="n">
        <v>199</v>
      </c>
      <c r="H49" s="0" t="n">
        <v>0</v>
      </c>
      <c r="I49" s="3" t="s">
        <v>125</v>
      </c>
      <c r="J49" s="0" t="n">
        <v>4</v>
      </c>
      <c r="K49" s="3" t="s">
        <v>43</v>
      </c>
      <c r="L49" s="0" t="str">
        <f aca="false">VLOOKUP(D49,Products!$A$2:$D$13,2,FALSE())</f>
        <v>Home</v>
      </c>
      <c r="M49" s="3" t="n">
        <f aca="false">F49*G49*(1-H49/100)</f>
        <v>398</v>
      </c>
      <c r="N49" s="0" t="str">
        <f aca="false">VLOOKUP(I49,Customers!$A$2:$D$121,3,FALSE())</f>
        <v>Lucknow</v>
      </c>
      <c r="O49" s="0" t="str">
        <f aca="false">VLOOKUP(I49,Customers!$A$2:$D$121,4,FALSE())</f>
        <v>Student</v>
      </c>
      <c r="P49" s="0" t="str">
        <f aca="false">TEXT(B49,"yyyy-mm")</f>
        <v>2026-01</v>
      </c>
    </row>
    <row r="50" customFormat="false" ht="15" hidden="false" customHeight="false" outlineLevel="0" collapsed="false">
      <c r="A50" s="0" t="s">
        <v>133</v>
      </c>
      <c r="B50" s="2" t="n">
        <v>45905</v>
      </c>
      <c r="C50" s="3" t="s">
        <v>17</v>
      </c>
      <c r="D50" s="3" t="s">
        <v>108</v>
      </c>
      <c r="E50" s="3" t="s">
        <v>19</v>
      </c>
      <c r="F50" s="0" t="n">
        <v>1</v>
      </c>
      <c r="G50" s="0" t="n">
        <v>180</v>
      </c>
      <c r="H50" s="0" t="n">
        <v>0</v>
      </c>
      <c r="I50" s="3" t="s">
        <v>94</v>
      </c>
      <c r="J50" s="0" t="n">
        <v>5</v>
      </c>
      <c r="K50" s="3" t="s">
        <v>34</v>
      </c>
      <c r="L50" s="0" t="str">
        <f aca="false">VLOOKUP(D50,Products!$A$2:$D$13,2,FALSE())</f>
        <v>Stationery</v>
      </c>
      <c r="M50" s="3" t="n">
        <f aca="false">F50*G50*(1-H50/100)</f>
        <v>180</v>
      </c>
      <c r="N50" s="0" t="str">
        <f aca="false">VLOOKUP(I50,Customers!$A$2:$D$121,3,FALSE())</f>
        <v>Chennai</v>
      </c>
      <c r="O50" s="0" t="str">
        <f aca="false">VLOOKUP(I50,Customers!$A$2:$D$121,4,FALSE())</f>
        <v>Corporate</v>
      </c>
      <c r="P50" s="0" t="str">
        <f aca="false">TEXT(B50,"yyyy-mm")</f>
        <v>2025-09</v>
      </c>
    </row>
    <row r="51" customFormat="false" ht="15" hidden="false" customHeight="false" outlineLevel="0" collapsed="false">
      <c r="A51" s="0" t="s">
        <v>134</v>
      </c>
      <c r="B51" s="2" t="n">
        <v>46089</v>
      </c>
      <c r="C51" s="3" t="s">
        <v>36</v>
      </c>
      <c r="D51" s="3" t="s">
        <v>28</v>
      </c>
      <c r="E51" s="3" t="s">
        <v>69</v>
      </c>
      <c r="F51" s="0" t="n">
        <v>6</v>
      </c>
      <c r="G51" s="0" t="n">
        <v>450</v>
      </c>
      <c r="H51" s="0" t="n">
        <v>0</v>
      </c>
      <c r="I51" s="3" t="s">
        <v>135</v>
      </c>
      <c r="J51" s="0" t="n">
        <v>5</v>
      </c>
      <c r="K51" s="3" t="s">
        <v>26</v>
      </c>
      <c r="L51" s="0" t="str">
        <f aca="false">VLOOKUP(D51,Products!$A$2:$D$13,2,FALSE())</f>
        <v>Electronics</v>
      </c>
      <c r="M51" s="3" t="n">
        <f aca="false">F51*G51*(1-H51/100)</f>
        <v>2700</v>
      </c>
      <c r="N51" s="0" t="str">
        <f aca="false">VLOOKUP(I51,Customers!$A$2:$D$121,3,FALSE())</f>
        <v>Jaipur</v>
      </c>
      <c r="O51" s="0" t="str">
        <f aca="false">VLOOKUP(I51,Customers!$A$2:$D$121,4,FALSE())</f>
        <v>Corporate</v>
      </c>
      <c r="P51" s="0" t="str">
        <f aca="false">TEXT(B51,"yyyy-mm")</f>
        <v>2026-03</v>
      </c>
    </row>
    <row r="52" customFormat="false" ht="15" hidden="false" customHeight="false" outlineLevel="0" collapsed="false">
      <c r="A52" s="0" t="s">
        <v>136</v>
      </c>
      <c r="B52" s="2" t="n">
        <v>45838</v>
      </c>
      <c r="C52" s="3" t="s">
        <v>36</v>
      </c>
      <c r="D52" s="3" t="s">
        <v>28</v>
      </c>
      <c r="E52" s="3" t="s">
        <v>69</v>
      </c>
      <c r="F52" s="0" t="n">
        <v>3</v>
      </c>
      <c r="G52" s="0" t="n">
        <v>450</v>
      </c>
      <c r="H52" s="0" t="n">
        <v>5</v>
      </c>
      <c r="I52" s="3" t="s">
        <v>137</v>
      </c>
      <c r="J52" s="0" t="n">
        <v>3</v>
      </c>
      <c r="K52" s="3" t="s">
        <v>43</v>
      </c>
      <c r="L52" s="0" t="str">
        <f aca="false">VLOOKUP(D52,Products!$A$2:$D$13,2,FALSE())</f>
        <v>Electronics</v>
      </c>
      <c r="M52" s="3" t="n">
        <f aca="false">F52*G52*(1-H52/100)</f>
        <v>1282.5</v>
      </c>
      <c r="N52" s="0" t="str">
        <f aca="false">VLOOKUP(I52,Customers!$A$2:$D$121,3,FALSE())</f>
        <v>Mumbai</v>
      </c>
      <c r="O52" s="0" t="str">
        <f aca="false">VLOOKUP(I52,Customers!$A$2:$D$121,4,FALSE())</f>
        <v>Corporate</v>
      </c>
      <c r="P52" s="0" t="str">
        <f aca="false">TEXT(B52,"yyyy-mm")</f>
        <v>2025-06</v>
      </c>
    </row>
    <row r="53" customFormat="false" ht="15" hidden="false" customHeight="false" outlineLevel="0" collapsed="false">
      <c r="A53" s="0" t="s">
        <v>138</v>
      </c>
      <c r="B53" s="2" t="n">
        <v>45884</v>
      </c>
      <c r="C53" s="3" t="s">
        <v>36</v>
      </c>
      <c r="D53" s="3" t="s">
        <v>18</v>
      </c>
      <c r="E53" s="3" t="s">
        <v>69</v>
      </c>
      <c r="F53" s="0" t="n">
        <v>5</v>
      </c>
      <c r="G53" s="0" t="n">
        <v>349</v>
      </c>
      <c r="H53" s="0" t="n">
        <v>0</v>
      </c>
      <c r="I53" s="3" t="s">
        <v>139</v>
      </c>
      <c r="J53" s="0" t="n">
        <v>4</v>
      </c>
      <c r="K53" s="3" t="s">
        <v>21</v>
      </c>
      <c r="L53" s="0" t="str">
        <f aca="false">VLOOKUP(D53,Products!$A$2:$D$13,2,FALSE())</f>
        <v>Home</v>
      </c>
      <c r="M53" s="3" t="n">
        <f aca="false">F53*G53*(1-H53/100)</f>
        <v>1745</v>
      </c>
      <c r="N53" s="0" t="str">
        <f aca="false">VLOOKUP(I53,Customers!$A$2:$D$121,3,FALSE())</f>
        <v>Mumbai</v>
      </c>
      <c r="O53" s="0" t="str">
        <f aca="false">VLOOKUP(I53,Customers!$A$2:$D$121,4,FALSE())</f>
        <v>Student</v>
      </c>
      <c r="P53" s="0" t="str">
        <f aca="false">TEXT(B53,"yyyy-mm")</f>
        <v>2025-08</v>
      </c>
    </row>
    <row r="54" customFormat="false" ht="15" hidden="false" customHeight="false" outlineLevel="0" collapsed="false">
      <c r="A54" s="0" t="s">
        <v>140</v>
      </c>
      <c r="B54" s="2" t="n">
        <v>45850</v>
      </c>
      <c r="C54" s="3" t="s">
        <v>36</v>
      </c>
      <c r="D54" s="3" t="s">
        <v>32</v>
      </c>
      <c r="E54" s="3" t="s">
        <v>38</v>
      </c>
      <c r="F54" s="0" t="n">
        <v>4</v>
      </c>
      <c r="G54" s="0" t="n">
        <v>249</v>
      </c>
      <c r="H54" s="0" t="n">
        <v>5</v>
      </c>
      <c r="I54" s="3" t="s">
        <v>141</v>
      </c>
      <c r="J54" s="0" t="n">
        <v>3</v>
      </c>
      <c r="K54" s="3" t="s">
        <v>26</v>
      </c>
      <c r="L54" s="0" t="str">
        <f aca="false">VLOOKUP(D54,Products!$A$2:$D$13,2,FALSE())</f>
        <v>Accessories</v>
      </c>
      <c r="M54" s="3" t="n">
        <f aca="false">F54*G54*(1-H54/100)</f>
        <v>946.2</v>
      </c>
      <c r="N54" s="0" t="str">
        <f aca="false">VLOOKUP(I54,Customers!$A$2:$D$121,3,FALSE())</f>
        <v>Bhopal</v>
      </c>
      <c r="O54" s="0" t="str">
        <f aca="false">VLOOKUP(I54,Customers!$A$2:$D$121,4,FALSE())</f>
        <v>Student</v>
      </c>
      <c r="P54" s="0" t="str">
        <f aca="false">TEXT(B54,"yyyy-mm")</f>
        <v>2025-07</v>
      </c>
    </row>
    <row r="55" customFormat="false" ht="15" hidden="false" customHeight="false" outlineLevel="0" collapsed="false">
      <c r="A55" s="0" t="s">
        <v>142</v>
      </c>
      <c r="B55" s="2" t="n">
        <v>45952</v>
      </c>
      <c r="C55" s="3" t="s">
        <v>36</v>
      </c>
      <c r="D55" s="3" t="s">
        <v>60</v>
      </c>
      <c r="E55" s="3" t="s">
        <v>69</v>
      </c>
      <c r="F55" s="0" t="n">
        <v>2</v>
      </c>
      <c r="G55" s="0" t="n">
        <v>40</v>
      </c>
      <c r="H55" s="0" t="n">
        <v>0</v>
      </c>
      <c r="I55" s="3" t="s">
        <v>20</v>
      </c>
      <c r="J55" s="0" t="n">
        <v>5</v>
      </c>
      <c r="K55" s="3" t="s">
        <v>34</v>
      </c>
      <c r="L55" s="0" t="str">
        <f aca="false">VLOOKUP(D55,Products!$A$2:$D$13,2,FALSE())</f>
        <v>Stationery</v>
      </c>
      <c r="M55" s="3" t="n">
        <f aca="false">F55*G55*(1-H55/100)</f>
        <v>80</v>
      </c>
      <c r="N55" s="0" t="str">
        <f aca="false">VLOOKUP(I55,Customers!$A$2:$D$121,3,FALSE())</f>
        <v>Mumbai</v>
      </c>
      <c r="O55" s="0" t="str">
        <f aca="false">VLOOKUP(I55,Customers!$A$2:$D$121,4,FALSE())</f>
        <v>Student</v>
      </c>
      <c r="P55" s="0" t="str">
        <f aca="false">TEXT(B55,"yyyy-mm")</f>
        <v>2025-10</v>
      </c>
    </row>
    <row r="56" customFormat="false" ht="15" hidden="false" customHeight="false" outlineLevel="0" collapsed="false">
      <c r="A56" s="0" t="s">
        <v>143</v>
      </c>
      <c r="B56" s="2" t="n">
        <v>45952</v>
      </c>
      <c r="C56" s="3" t="s">
        <v>23</v>
      </c>
      <c r="D56" s="3" t="s">
        <v>18</v>
      </c>
      <c r="E56" s="3" t="s">
        <v>24</v>
      </c>
      <c r="F56" s="0" t="n">
        <v>5</v>
      </c>
      <c r="G56" s="0" t="n">
        <v>349</v>
      </c>
      <c r="H56" s="0" t="n">
        <v>15</v>
      </c>
      <c r="I56" s="3" t="s">
        <v>77</v>
      </c>
      <c r="J56" s="0" t="n">
        <v>4</v>
      </c>
      <c r="K56" s="3" t="s">
        <v>21</v>
      </c>
      <c r="L56" s="0" t="str">
        <f aca="false">VLOOKUP(D56,Products!$A$2:$D$13,2,FALSE())</f>
        <v>Home</v>
      </c>
      <c r="M56" s="3" t="n">
        <f aca="false">F56*G56*(1-H56/100)</f>
        <v>1483.25</v>
      </c>
      <c r="N56" s="0" t="str">
        <f aca="false">VLOOKUP(I56,Customers!$A$2:$D$121,3,FALSE())</f>
        <v>Chennai</v>
      </c>
      <c r="O56" s="0" t="str">
        <f aca="false">VLOOKUP(I56,Customers!$A$2:$D$121,4,FALSE())</f>
        <v>Student</v>
      </c>
      <c r="P56" s="0" t="str">
        <f aca="false">TEXT(B56,"yyyy-mm")</f>
        <v>2025-10</v>
      </c>
    </row>
    <row r="57" customFormat="false" ht="15" hidden="false" customHeight="false" outlineLevel="0" collapsed="false">
      <c r="A57" s="0" t="s">
        <v>144</v>
      </c>
      <c r="B57" s="2" t="n">
        <v>46045</v>
      </c>
      <c r="C57" s="3" t="s">
        <v>36</v>
      </c>
      <c r="D57" s="3" t="s">
        <v>37</v>
      </c>
      <c r="E57" s="3" t="s">
        <v>69</v>
      </c>
      <c r="F57" s="0" t="n">
        <v>1</v>
      </c>
      <c r="G57" s="0" t="n">
        <v>500</v>
      </c>
      <c r="H57" s="0" t="n">
        <v>0</v>
      </c>
      <c r="I57" s="3" t="s">
        <v>145</v>
      </c>
      <c r="J57" s="0" t="n">
        <v>2</v>
      </c>
      <c r="K57" s="3" t="s">
        <v>34</v>
      </c>
      <c r="L57" s="0" t="str">
        <f aca="false">VLOOKUP(D57,Products!$A$2:$D$13,2,FALSE())</f>
        <v>Electronics</v>
      </c>
      <c r="M57" s="3" t="n">
        <f aca="false">F57*G57*(1-H57/100)</f>
        <v>500</v>
      </c>
      <c r="N57" s="0" t="str">
        <f aca="false">VLOOKUP(I57,Customers!$A$2:$D$121,3,FALSE())</f>
        <v>Bhopal</v>
      </c>
      <c r="O57" s="0" t="str">
        <f aca="false">VLOOKUP(I57,Customers!$A$2:$D$121,4,FALSE())</f>
        <v>Student</v>
      </c>
      <c r="P57" s="0" t="str">
        <f aca="false">TEXT(B57,"yyyy-mm")</f>
        <v>2026-01</v>
      </c>
    </row>
    <row r="58" customFormat="false" ht="15" hidden="false" customHeight="false" outlineLevel="0" collapsed="false">
      <c r="A58" s="0" t="s">
        <v>146</v>
      </c>
      <c r="B58" s="2" t="n">
        <v>45971</v>
      </c>
      <c r="C58" s="3" t="s">
        <v>72</v>
      </c>
      <c r="D58" s="3" t="s">
        <v>48</v>
      </c>
      <c r="E58" s="3" t="s">
        <v>89</v>
      </c>
      <c r="F58" s="0" t="n">
        <v>1</v>
      </c>
      <c r="G58" s="0" t="n">
        <v>199</v>
      </c>
      <c r="H58" s="0" t="n">
        <v>10</v>
      </c>
      <c r="I58" s="3" t="s">
        <v>114</v>
      </c>
      <c r="J58" s="0" t="n">
        <v>2</v>
      </c>
      <c r="K58" s="3" t="s">
        <v>34</v>
      </c>
      <c r="L58" s="0" t="str">
        <f aca="false">VLOOKUP(D58,Products!$A$2:$D$13,2,FALSE())</f>
        <v>Home</v>
      </c>
      <c r="M58" s="3" t="n">
        <f aca="false">F58*G58*(1-H58/100)</f>
        <v>179.1</v>
      </c>
      <c r="N58" s="0" t="str">
        <f aca="false">VLOOKUP(I58,Customers!$A$2:$D$121,3,FALSE())</f>
        <v>Lucknow</v>
      </c>
      <c r="O58" s="0" t="str">
        <f aca="false">VLOOKUP(I58,Customers!$A$2:$D$121,4,FALSE())</f>
        <v>Retail</v>
      </c>
      <c r="P58" s="0" t="str">
        <f aca="false">TEXT(B58,"yyyy-mm")</f>
        <v>2025-11</v>
      </c>
    </row>
    <row r="59" customFormat="false" ht="15" hidden="false" customHeight="false" outlineLevel="0" collapsed="false">
      <c r="A59" s="0" t="s">
        <v>147</v>
      </c>
      <c r="B59" s="2" t="n">
        <v>45748</v>
      </c>
      <c r="C59" s="3" t="s">
        <v>51</v>
      </c>
      <c r="D59" s="3" t="s">
        <v>60</v>
      </c>
      <c r="E59" s="3" t="s">
        <v>52</v>
      </c>
      <c r="F59" s="0" t="n">
        <v>1</v>
      </c>
      <c r="G59" s="0" t="n">
        <v>40</v>
      </c>
      <c r="H59" s="0" t="n">
        <v>10</v>
      </c>
      <c r="I59" s="3" t="s">
        <v>110</v>
      </c>
      <c r="J59" s="0" t="n">
        <v>5</v>
      </c>
      <c r="K59" s="3" t="s">
        <v>34</v>
      </c>
      <c r="L59" s="0" t="str">
        <f aca="false">VLOOKUP(D59,Products!$A$2:$D$13,2,FALSE())</f>
        <v>Stationery</v>
      </c>
      <c r="M59" s="3" t="n">
        <f aca="false">F59*G59*(1-H59/100)</f>
        <v>36</v>
      </c>
      <c r="N59" s="0" t="str">
        <f aca="false">VLOOKUP(I59,Customers!$A$2:$D$121,3,FALSE())</f>
        <v>Pune</v>
      </c>
      <c r="O59" s="0" t="str">
        <f aca="false">VLOOKUP(I59,Customers!$A$2:$D$121,4,FALSE())</f>
        <v>Retail</v>
      </c>
      <c r="P59" s="0" t="str">
        <f aca="false">TEXT(B59,"yyyy-mm")</f>
        <v>2025-04</v>
      </c>
    </row>
    <row r="60" customFormat="false" ht="15" hidden="false" customHeight="false" outlineLevel="0" collapsed="false">
      <c r="A60" s="0" t="s">
        <v>148</v>
      </c>
      <c r="B60" s="2" t="n">
        <v>46088</v>
      </c>
      <c r="C60" s="3" t="s">
        <v>17</v>
      </c>
      <c r="D60" s="3" t="s">
        <v>88</v>
      </c>
      <c r="E60" s="3" t="s">
        <v>19</v>
      </c>
      <c r="F60" s="0" t="n">
        <v>1</v>
      </c>
      <c r="G60" s="0" t="n">
        <v>799</v>
      </c>
      <c r="H60" s="0" t="n">
        <v>0</v>
      </c>
      <c r="I60" s="3" t="s">
        <v>46</v>
      </c>
      <c r="J60" s="0" t="n">
        <v>3</v>
      </c>
      <c r="K60" s="3" t="s">
        <v>34</v>
      </c>
      <c r="L60" s="0" t="str">
        <f aca="false">VLOOKUP(D60,Products!$A$2:$D$13,2,FALSE())</f>
        <v>Accessories</v>
      </c>
      <c r="M60" s="3" t="n">
        <f aca="false">F60*G60*(1-H60/100)</f>
        <v>799</v>
      </c>
      <c r="N60" s="0" t="str">
        <f aca="false">VLOOKUP(I60,Customers!$A$2:$D$121,3,FALSE())</f>
        <v>Indore</v>
      </c>
      <c r="O60" s="0" t="str">
        <f aca="false">VLOOKUP(I60,Customers!$A$2:$D$121,4,FALSE())</f>
        <v>Student</v>
      </c>
      <c r="P60" s="0" t="str">
        <f aca="false">TEXT(B60,"yyyy-mm")</f>
        <v>2026-03</v>
      </c>
    </row>
    <row r="61" customFormat="false" ht="15" hidden="false" customHeight="false" outlineLevel="0" collapsed="false">
      <c r="A61" s="0" t="s">
        <v>149</v>
      </c>
      <c r="B61" s="2" t="n">
        <v>46089</v>
      </c>
      <c r="C61" s="3" t="s">
        <v>72</v>
      </c>
      <c r="D61" s="3" t="s">
        <v>57</v>
      </c>
      <c r="E61" s="3" t="s">
        <v>73</v>
      </c>
      <c r="F61" s="0" t="n">
        <v>1</v>
      </c>
      <c r="G61" s="0" t="n">
        <v>549</v>
      </c>
      <c r="H61" s="0" t="n">
        <v>5</v>
      </c>
      <c r="I61" s="3" t="s">
        <v>150</v>
      </c>
      <c r="J61" s="0" t="n">
        <v>4</v>
      </c>
      <c r="K61" s="3" t="s">
        <v>26</v>
      </c>
      <c r="L61" s="0" t="str">
        <f aca="false">VLOOKUP(D61,Products!$A$2:$D$13,2,FALSE())</f>
        <v>Accessories</v>
      </c>
      <c r="M61" s="3" t="n">
        <f aca="false">F61*G61*(1-H61/100)</f>
        <v>521.55</v>
      </c>
      <c r="N61" s="0" t="str">
        <f aca="false">VLOOKUP(I61,Customers!$A$2:$D$121,3,FALSE())</f>
        <v>Indore</v>
      </c>
      <c r="O61" s="0" t="str">
        <f aca="false">VLOOKUP(I61,Customers!$A$2:$D$121,4,FALSE())</f>
        <v>Student</v>
      </c>
      <c r="P61" s="0" t="str">
        <f aca="false">TEXT(B61,"yyyy-mm")</f>
        <v>2026-03</v>
      </c>
    </row>
    <row r="62" customFormat="false" ht="15" hidden="false" customHeight="false" outlineLevel="0" collapsed="false">
      <c r="A62" s="0" t="s">
        <v>151</v>
      </c>
      <c r="B62" s="2" t="n">
        <v>46088</v>
      </c>
      <c r="C62" s="3" t="s">
        <v>51</v>
      </c>
      <c r="D62" s="3" t="s">
        <v>28</v>
      </c>
      <c r="E62" s="3" t="s">
        <v>52</v>
      </c>
      <c r="F62" s="0" t="n">
        <v>1</v>
      </c>
      <c r="G62" s="0" t="n">
        <v>450</v>
      </c>
      <c r="H62" s="0" t="n">
        <v>5</v>
      </c>
      <c r="I62" s="3" t="s">
        <v>152</v>
      </c>
      <c r="J62" s="0" t="n">
        <v>5</v>
      </c>
      <c r="K62" s="3" t="s">
        <v>34</v>
      </c>
      <c r="L62" s="0" t="str">
        <f aca="false">VLOOKUP(D62,Products!$A$2:$D$13,2,FALSE())</f>
        <v>Electronics</v>
      </c>
      <c r="M62" s="3" t="n">
        <f aca="false">F62*G62*(1-H62/100)</f>
        <v>427.5</v>
      </c>
      <c r="N62" s="0" t="str">
        <f aca="false">VLOOKUP(I62,Customers!$A$2:$D$121,3,FALSE())</f>
        <v>Bhopal</v>
      </c>
      <c r="O62" s="0" t="str">
        <f aca="false">VLOOKUP(I62,Customers!$A$2:$D$121,4,FALSE())</f>
        <v>Corporate</v>
      </c>
      <c r="P62" s="0" t="str">
        <f aca="false">TEXT(B62,"yyyy-mm")</f>
        <v>2026-03</v>
      </c>
    </row>
    <row r="63" customFormat="false" ht="15" hidden="false" customHeight="false" outlineLevel="0" collapsed="false">
      <c r="A63" s="0" t="s">
        <v>153</v>
      </c>
      <c r="B63" s="2" t="n">
        <v>45748</v>
      </c>
      <c r="C63" s="3" t="s">
        <v>23</v>
      </c>
      <c r="D63" s="3" t="s">
        <v>88</v>
      </c>
      <c r="E63" s="3" t="s">
        <v>29</v>
      </c>
      <c r="F63" s="0" t="n">
        <v>3</v>
      </c>
      <c r="G63" s="0" t="n">
        <v>799</v>
      </c>
      <c r="H63" s="0" t="n">
        <v>0</v>
      </c>
      <c r="I63" s="3" t="s">
        <v>154</v>
      </c>
      <c r="J63" s="0" t="n">
        <v>3</v>
      </c>
      <c r="K63" s="3" t="s">
        <v>43</v>
      </c>
      <c r="L63" s="0" t="str">
        <f aca="false">VLOOKUP(D63,Products!$A$2:$D$13,2,FALSE())</f>
        <v>Accessories</v>
      </c>
      <c r="M63" s="3" t="n">
        <f aca="false">F63*G63*(1-H63/100)</f>
        <v>2397</v>
      </c>
      <c r="N63" s="0" t="str">
        <f aca="false">VLOOKUP(I63,Customers!$A$2:$D$121,3,FALSE())</f>
        <v>Lucknow</v>
      </c>
      <c r="O63" s="0" t="str">
        <f aca="false">VLOOKUP(I63,Customers!$A$2:$D$121,4,FALSE())</f>
        <v>Retail</v>
      </c>
      <c r="P63" s="0" t="str">
        <f aca="false">TEXT(B63,"yyyy-mm")</f>
        <v>2025-04</v>
      </c>
    </row>
    <row r="64" customFormat="false" ht="15" hidden="false" customHeight="false" outlineLevel="0" collapsed="false">
      <c r="A64" s="0" t="s">
        <v>155</v>
      </c>
      <c r="B64" s="2" t="n">
        <v>46093</v>
      </c>
      <c r="C64" s="3" t="s">
        <v>51</v>
      </c>
      <c r="D64" s="3" t="s">
        <v>32</v>
      </c>
      <c r="E64" s="3" t="s">
        <v>52</v>
      </c>
      <c r="F64" s="0" t="n">
        <v>1</v>
      </c>
      <c r="G64" s="0" t="n">
        <v>249</v>
      </c>
      <c r="H64" s="0" t="n">
        <v>0</v>
      </c>
      <c r="I64" s="3" t="s">
        <v>114</v>
      </c>
      <c r="J64" s="0" t="n">
        <v>4</v>
      </c>
      <c r="K64" s="3" t="s">
        <v>21</v>
      </c>
      <c r="L64" s="0" t="str">
        <f aca="false">VLOOKUP(D64,Products!$A$2:$D$13,2,FALSE())</f>
        <v>Accessories</v>
      </c>
      <c r="M64" s="3" t="n">
        <f aca="false">F64*G64*(1-H64/100)</f>
        <v>249</v>
      </c>
      <c r="N64" s="0" t="str">
        <f aca="false">VLOOKUP(I64,Customers!$A$2:$D$121,3,FALSE())</f>
        <v>Lucknow</v>
      </c>
      <c r="O64" s="0" t="str">
        <f aca="false">VLOOKUP(I64,Customers!$A$2:$D$121,4,FALSE())</f>
        <v>Retail</v>
      </c>
      <c r="P64" s="0" t="str">
        <f aca="false">TEXT(B64,"yyyy-mm")</f>
        <v>2026-03</v>
      </c>
    </row>
    <row r="65" customFormat="false" ht="15" hidden="false" customHeight="false" outlineLevel="0" collapsed="false">
      <c r="A65" s="0" t="s">
        <v>156</v>
      </c>
      <c r="B65" s="2" t="n">
        <v>46087</v>
      </c>
      <c r="C65" s="3" t="s">
        <v>23</v>
      </c>
      <c r="D65" s="3" t="s">
        <v>37</v>
      </c>
      <c r="E65" s="3" t="s">
        <v>24</v>
      </c>
      <c r="F65" s="0" t="n">
        <v>1</v>
      </c>
      <c r="G65" s="0" t="n">
        <v>500</v>
      </c>
      <c r="H65" s="0" t="n">
        <v>15</v>
      </c>
      <c r="I65" s="3" t="s">
        <v>46</v>
      </c>
      <c r="J65" s="0" t="n">
        <v>4</v>
      </c>
      <c r="K65" s="3" t="s">
        <v>34</v>
      </c>
      <c r="L65" s="0" t="str">
        <f aca="false">VLOOKUP(D65,Products!$A$2:$D$13,2,FALSE())</f>
        <v>Electronics</v>
      </c>
      <c r="M65" s="3" t="n">
        <f aca="false">F65*G65*(1-H65/100)</f>
        <v>425</v>
      </c>
      <c r="N65" s="0" t="str">
        <f aca="false">VLOOKUP(I65,Customers!$A$2:$D$121,3,FALSE())</f>
        <v>Indore</v>
      </c>
      <c r="O65" s="0" t="str">
        <f aca="false">VLOOKUP(I65,Customers!$A$2:$D$121,4,FALSE())</f>
        <v>Student</v>
      </c>
      <c r="P65" s="0" t="str">
        <f aca="false">TEXT(B65,"yyyy-mm")</f>
        <v>2026-03</v>
      </c>
    </row>
    <row r="66" customFormat="false" ht="15" hidden="false" customHeight="false" outlineLevel="0" collapsed="false">
      <c r="A66" s="0" t="s">
        <v>157</v>
      </c>
      <c r="B66" s="2" t="n">
        <v>45823</v>
      </c>
      <c r="C66" s="3" t="s">
        <v>36</v>
      </c>
      <c r="D66" s="3" t="s">
        <v>28</v>
      </c>
      <c r="E66" s="3" t="s">
        <v>69</v>
      </c>
      <c r="F66" s="0" t="n">
        <v>2</v>
      </c>
      <c r="G66" s="0" t="n">
        <v>450</v>
      </c>
      <c r="H66" s="0" t="n">
        <v>0</v>
      </c>
      <c r="I66" s="3" t="s">
        <v>158</v>
      </c>
      <c r="J66" s="0" t="n">
        <v>3</v>
      </c>
      <c r="K66" s="3" t="s">
        <v>21</v>
      </c>
      <c r="L66" s="0" t="str">
        <f aca="false">VLOOKUP(D66,Products!$A$2:$D$13,2,FALSE())</f>
        <v>Electronics</v>
      </c>
      <c r="M66" s="3" t="n">
        <f aca="false">F66*G66*(1-H66/100)</f>
        <v>900</v>
      </c>
      <c r="N66" s="0" t="str">
        <f aca="false">VLOOKUP(I66,Customers!$A$2:$D$121,3,FALSE())</f>
        <v>Mumbai</v>
      </c>
      <c r="O66" s="0" t="str">
        <f aca="false">VLOOKUP(I66,Customers!$A$2:$D$121,4,FALSE())</f>
        <v>Retail</v>
      </c>
      <c r="P66" s="0" t="str">
        <f aca="false">TEXT(B66,"yyyy-mm")</f>
        <v>2025-06</v>
      </c>
    </row>
    <row r="67" customFormat="false" ht="15" hidden="false" customHeight="false" outlineLevel="0" collapsed="false">
      <c r="A67" s="0" t="s">
        <v>159</v>
      </c>
      <c r="B67" s="2" t="n">
        <v>46070</v>
      </c>
      <c r="C67" s="3" t="s">
        <v>51</v>
      </c>
      <c r="D67" s="3" t="s">
        <v>32</v>
      </c>
      <c r="E67" s="3" t="s">
        <v>83</v>
      </c>
      <c r="F67" s="0" t="n">
        <v>1</v>
      </c>
      <c r="G67" s="0" t="n">
        <v>249</v>
      </c>
      <c r="H67" s="0" t="n">
        <v>10</v>
      </c>
      <c r="I67" s="3" t="s">
        <v>102</v>
      </c>
      <c r="J67" s="0" t="n">
        <v>4</v>
      </c>
      <c r="K67" s="3" t="s">
        <v>43</v>
      </c>
      <c r="L67" s="0" t="str">
        <f aca="false">VLOOKUP(D67,Products!$A$2:$D$13,2,FALSE())</f>
        <v>Accessories</v>
      </c>
      <c r="M67" s="3" t="n">
        <f aca="false">F67*G67*(1-H67/100)</f>
        <v>224.1</v>
      </c>
      <c r="N67" s="0" t="str">
        <f aca="false">VLOOKUP(I67,Customers!$A$2:$D$121,3,FALSE())</f>
        <v>Jaipur</v>
      </c>
      <c r="O67" s="0" t="str">
        <f aca="false">VLOOKUP(I67,Customers!$A$2:$D$121,4,FALSE())</f>
        <v>Corporate</v>
      </c>
      <c r="P67" s="0" t="str">
        <f aca="false">TEXT(B67,"yyyy-mm")</f>
        <v>2026-02</v>
      </c>
    </row>
    <row r="68" customFormat="false" ht="15" hidden="false" customHeight="false" outlineLevel="0" collapsed="false">
      <c r="A68" s="0" t="s">
        <v>160</v>
      </c>
      <c r="B68" s="2" t="n">
        <v>45823</v>
      </c>
      <c r="C68" s="3" t="s">
        <v>36</v>
      </c>
      <c r="D68" s="3" t="s">
        <v>88</v>
      </c>
      <c r="E68" s="3" t="s">
        <v>38</v>
      </c>
      <c r="F68" s="0" t="n">
        <v>3</v>
      </c>
      <c r="G68" s="0" t="n">
        <v>799</v>
      </c>
      <c r="H68" s="0" t="n">
        <v>15</v>
      </c>
      <c r="I68" s="3" t="s">
        <v>161</v>
      </c>
      <c r="J68" s="0" t="n">
        <v>1</v>
      </c>
      <c r="K68" s="3" t="s">
        <v>43</v>
      </c>
      <c r="L68" s="0" t="str">
        <f aca="false">VLOOKUP(D68,Products!$A$2:$D$13,2,FALSE())</f>
        <v>Accessories</v>
      </c>
      <c r="M68" s="3" t="n">
        <f aca="false">F68*G68*(1-H68/100)</f>
        <v>2037.45</v>
      </c>
      <c r="N68" s="0" t="str">
        <f aca="false">VLOOKUP(I68,Customers!$A$2:$D$121,3,FALSE())</f>
        <v>Lucknow</v>
      </c>
      <c r="O68" s="0" t="str">
        <f aca="false">VLOOKUP(I68,Customers!$A$2:$D$121,4,FALSE())</f>
        <v>Corporate</v>
      </c>
      <c r="P68" s="0" t="str">
        <f aca="false">TEXT(B68,"yyyy-mm")</f>
        <v>2025-06</v>
      </c>
    </row>
    <row r="69" customFormat="false" ht="15" hidden="false" customHeight="false" outlineLevel="0" collapsed="false">
      <c r="A69" s="0" t="s">
        <v>162</v>
      </c>
      <c r="B69" s="2" t="n">
        <v>46104</v>
      </c>
      <c r="C69" s="3" t="s">
        <v>36</v>
      </c>
      <c r="D69" s="3" t="s">
        <v>28</v>
      </c>
      <c r="E69" s="3" t="s">
        <v>38</v>
      </c>
      <c r="F69" s="0" t="n">
        <v>1</v>
      </c>
      <c r="G69" s="0" t="n">
        <v>450</v>
      </c>
      <c r="H69" s="0" t="n">
        <v>10</v>
      </c>
      <c r="I69" s="3" t="s">
        <v>163</v>
      </c>
      <c r="J69" s="0" t="n">
        <v>2</v>
      </c>
      <c r="K69" s="3" t="s">
        <v>21</v>
      </c>
      <c r="L69" s="0" t="str">
        <f aca="false">VLOOKUP(D69,Products!$A$2:$D$13,2,FALSE())</f>
        <v>Electronics</v>
      </c>
      <c r="M69" s="3" t="n">
        <f aca="false">F69*G69*(1-H69/100)</f>
        <v>405</v>
      </c>
      <c r="N69" s="0" t="str">
        <f aca="false">VLOOKUP(I69,Customers!$A$2:$D$121,3,FALSE())</f>
        <v>Kolkata</v>
      </c>
      <c r="O69" s="0" t="str">
        <f aca="false">VLOOKUP(I69,Customers!$A$2:$D$121,4,FALSE())</f>
        <v>Student</v>
      </c>
      <c r="P69" s="0" t="str">
        <f aca="false">TEXT(B69,"yyyy-mm")</f>
        <v>2026-03</v>
      </c>
    </row>
    <row r="70" customFormat="false" ht="15" hidden="false" customHeight="false" outlineLevel="0" collapsed="false">
      <c r="A70" s="0" t="s">
        <v>164</v>
      </c>
      <c r="B70" s="2" t="n">
        <v>45985</v>
      </c>
      <c r="C70" s="3" t="s">
        <v>36</v>
      </c>
      <c r="D70" s="3" t="s">
        <v>32</v>
      </c>
      <c r="E70" s="3" t="s">
        <v>69</v>
      </c>
      <c r="F70" s="0" t="n">
        <v>8</v>
      </c>
      <c r="G70" s="0" t="n">
        <v>249</v>
      </c>
      <c r="H70" s="0" t="n">
        <v>15</v>
      </c>
      <c r="I70" s="3" t="s">
        <v>165</v>
      </c>
      <c r="J70" s="0" t="n">
        <v>5</v>
      </c>
      <c r="K70" s="3" t="s">
        <v>43</v>
      </c>
      <c r="L70" s="0" t="str">
        <f aca="false">VLOOKUP(D70,Products!$A$2:$D$13,2,FALSE())</f>
        <v>Accessories</v>
      </c>
      <c r="M70" s="3" t="n">
        <f aca="false">F70*G70*(1-H70/100)</f>
        <v>1693.2</v>
      </c>
      <c r="N70" s="0" t="str">
        <f aca="false">VLOOKUP(I70,Customers!$A$2:$D$121,3,FALSE())</f>
        <v>Mumbai</v>
      </c>
      <c r="O70" s="0" t="str">
        <f aca="false">VLOOKUP(I70,Customers!$A$2:$D$121,4,FALSE())</f>
        <v>Retail</v>
      </c>
      <c r="P70" s="0" t="str">
        <f aca="false">TEXT(B70,"yyyy-mm")</f>
        <v>2025-11</v>
      </c>
    </row>
    <row r="71" customFormat="false" ht="15" hidden="false" customHeight="false" outlineLevel="0" collapsed="false">
      <c r="A71" s="0" t="s">
        <v>166</v>
      </c>
      <c r="B71" s="2" t="n">
        <v>45966</v>
      </c>
      <c r="C71" s="3" t="s">
        <v>23</v>
      </c>
      <c r="D71" s="3" t="s">
        <v>116</v>
      </c>
      <c r="E71" s="3" t="s">
        <v>29</v>
      </c>
      <c r="F71" s="0" t="n">
        <v>3</v>
      </c>
      <c r="G71" s="0" t="n">
        <v>699</v>
      </c>
      <c r="H71" s="0" t="n">
        <v>10</v>
      </c>
      <c r="I71" s="3" t="s">
        <v>90</v>
      </c>
      <c r="J71" s="0" t="n">
        <v>5</v>
      </c>
      <c r="K71" s="3" t="s">
        <v>43</v>
      </c>
      <c r="L71" s="0" t="str">
        <f aca="false">VLOOKUP(D71,Products!$A$2:$D$13,2,FALSE())</f>
        <v>Home</v>
      </c>
      <c r="M71" s="3" t="n">
        <f aca="false">F71*G71*(1-H71/100)</f>
        <v>1887.3</v>
      </c>
      <c r="N71" s="0" t="str">
        <f aca="false">VLOOKUP(I71,Customers!$A$2:$D$121,3,FALSE())</f>
        <v>Jaipur</v>
      </c>
      <c r="O71" s="0" t="str">
        <f aca="false">VLOOKUP(I71,Customers!$A$2:$D$121,4,FALSE())</f>
        <v>Corporate</v>
      </c>
      <c r="P71" s="0" t="str">
        <f aca="false">TEXT(B71,"yyyy-mm")</f>
        <v>2025-11</v>
      </c>
    </row>
    <row r="72" customFormat="false" ht="15" hidden="false" customHeight="false" outlineLevel="0" collapsed="false">
      <c r="A72" s="0" t="s">
        <v>167</v>
      </c>
      <c r="B72" s="2" t="n">
        <v>46074</v>
      </c>
      <c r="C72" s="3" t="s">
        <v>36</v>
      </c>
      <c r="D72" s="3" t="s">
        <v>37</v>
      </c>
      <c r="E72" s="3" t="s">
        <v>69</v>
      </c>
      <c r="F72" s="0" t="n">
        <v>1</v>
      </c>
      <c r="G72" s="0" t="n">
        <v>500</v>
      </c>
      <c r="H72" s="0" t="n">
        <v>0</v>
      </c>
      <c r="I72" s="3" t="s">
        <v>84</v>
      </c>
      <c r="J72" s="0" t="n">
        <v>5</v>
      </c>
      <c r="K72" s="3" t="s">
        <v>26</v>
      </c>
      <c r="L72" s="0" t="str">
        <f aca="false">VLOOKUP(D72,Products!$A$2:$D$13,2,FALSE())</f>
        <v>Electronics</v>
      </c>
      <c r="M72" s="3" t="n">
        <f aca="false">F72*G72*(1-H72/100)</f>
        <v>500</v>
      </c>
      <c r="N72" s="0" t="str">
        <f aca="false">VLOOKUP(I72,Customers!$A$2:$D$121,3,FALSE())</f>
        <v>Bhopal</v>
      </c>
      <c r="O72" s="0" t="str">
        <f aca="false">VLOOKUP(I72,Customers!$A$2:$D$121,4,FALSE())</f>
        <v>Student</v>
      </c>
      <c r="P72" s="0" t="str">
        <f aca="false">TEXT(B72,"yyyy-mm")</f>
        <v>2026-02</v>
      </c>
    </row>
    <row r="73" customFormat="false" ht="15" hidden="false" customHeight="false" outlineLevel="0" collapsed="false">
      <c r="A73" s="0" t="s">
        <v>168</v>
      </c>
      <c r="B73" s="2" t="n">
        <v>45787</v>
      </c>
      <c r="C73" s="3" t="s">
        <v>51</v>
      </c>
      <c r="D73" s="3" t="s">
        <v>37</v>
      </c>
      <c r="E73" s="3" t="s">
        <v>83</v>
      </c>
      <c r="F73" s="0" t="n">
        <v>1</v>
      </c>
      <c r="G73" s="0" t="n">
        <v>500</v>
      </c>
      <c r="H73" s="0" t="n">
        <v>15</v>
      </c>
      <c r="I73" s="3" t="s">
        <v>154</v>
      </c>
      <c r="J73" s="0" t="n">
        <v>3</v>
      </c>
      <c r="K73" s="3" t="s">
        <v>34</v>
      </c>
      <c r="L73" s="0" t="str">
        <f aca="false">VLOOKUP(D73,Products!$A$2:$D$13,2,FALSE())</f>
        <v>Electronics</v>
      </c>
      <c r="M73" s="3" t="n">
        <f aca="false">F73*G73*(1-H73/100)</f>
        <v>425</v>
      </c>
      <c r="N73" s="0" t="str">
        <f aca="false">VLOOKUP(I73,Customers!$A$2:$D$121,3,FALSE())</f>
        <v>Lucknow</v>
      </c>
      <c r="O73" s="0" t="str">
        <f aca="false">VLOOKUP(I73,Customers!$A$2:$D$121,4,FALSE())</f>
        <v>Retail</v>
      </c>
      <c r="P73" s="0" t="str">
        <f aca="false">TEXT(B73,"yyyy-mm")</f>
        <v>2025-05</v>
      </c>
    </row>
    <row r="74" customFormat="false" ht="15" hidden="false" customHeight="false" outlineLevel="0" collapsed="false">
      <c r="A74" s="0" t="s">
        <v>169</v>
      </c>
      <c r="B74" s="2" t="n">
        <v>45818</v>
      </c>
      <c r="C74" s="3" t="s">
        <v>17</v>
      </c>
      <c r="D74" s="3" t="s">
        <v>57</v>
      </c>
      <c r="E74" s="3" t="s">
        <v>19</v>
      </c>
      <c r="F74" s="0" t="n">
        <v>3</v>
      </c>
      <c r="G74" s="0" t="n">
        <v>549</v>
      </c>
      <c r="H74" s="0" t="n">
        <v>0</v>
      </c>
      <c r="I74" s="3" t="s">
        <v>49</v>
      </c>
      <c r="J74" s="0" t="n">
        <v>4</v>
      </c>
      <c r="K74" s="3" t="s">
        <v>26</v>
      </c>
      <c r="L74" s="0" t="str">
        <f aca="false">VLOOKUP(D74,Products!$A$2:$D$13,2,FALSE())</f>
        <v>Accessories</v>
      </c>
      <c r="M74" s="3" t="n">
        <f aca="false">F74*G74*(1-H74/100)</f>
        <v>1647</v>
      </c>
      <c r="N74" s="0" t="str">
        <f aca="false">VLOOKUP(I74,Customers!$A$2:$D$121,3,FALSE())</f>
        <v>Indore</v>
      </c>
      <c r="O74" s="0" t="str">
        <f aca="false">VLOOKUP(I74,Customers!$A$2:$D$121,4,FALSE())</f>
        <v>Student</v>
      </c>
      <c r="P74" s="0" t="str">
        <f aca="false">TEXT(B74,"yyyy-mm")</f>
        <v>2025-06</v>
      </c>
    </row>
    <row r="75" customFormat="false" ht="15" hidden="false" customHeight="false" outlineLevel="0" collapsed="false">
      <c r="A75" s="0" t="s">
        <v>170</v>
      </c>
      <c r="B75" s="2" t="n">
        <v>45956</v>
      </c>
      <c r="C75" s="3" t="s">
        <v>51</v>
      </c>
      <c r="D75" s="3" t="s">
        <v>45</v>
      </c>
      <c r="E75" s="3" t="s">
        <v>52</v>
      </c>
      <c r="F75" s="0" t="n">
        <v>3</v>
      </c>
      <c r="G75" s="0" t="n">
        <v>30</v>
      </c>
      <c r="H75" s="0" t="n">
        <v>0</v>
      </c>
      <c r="I75" s="3" t="s">
        <v>106</v>
      </c>
      <c r="J75" s="0" t="n">
        <v>4</v>
      </c>
      <c r="K75" s="3" t="s">
        <v>26</v>
      </c>
      <c r="L75" s="0" t="str">
        <f aca="false">VLOOKUP(D75,Products!$A$2:$D$13,2,FALSE())</f>
        <v>Stationery</v>
      </c>
      <c r="M75" s="3" t="n">
        <f aca="false">F75*G75*(1-H75/100)</f>
        <v>90</v>
      </c>
      <c r="N75" s="0" t="str">
        <f aca="false">VLOOKUP(I75,Customers!$A$2:$D$121,3,FALSE())</f>
        <v>Bhopal</v>
      </c>
      <c r="O75" s="0" t="str">
        <f aca="false">VLOOKUP(I75,Customers!$A$2:$D$121,4,FALSE())</f>
        <v>Corporate</v>
      </c>
      <c r="P75" s="0" t="str">
        <f aca="false">TEXT(B75,"yyyy-mm")</f>
        <v>2025-10</v>
      </c>
    </row>
    <row r="76" customFormat="false" ht="15" hidden="false" customHeight="false" outlineLevel="0" collapsed="false">
      <c r="A76" s="0" t="s">
        <v>171</v>
      </c>
      <c r="B76" s="2" t="n">
        <v>46047</v>
      </c>
      <c r="C76" s="3" t="s">
        <v>51</v>
      </c>
      <c r="D76" s="3" t="s">
        <v>88</v>
      </c>
      <c r="E76" s="3" t="s">
        <v>83</v>
      </c>
      <c r="F76" s="0" t="n">
        <v>3</v>
      </c>
      <c r="G76" s="0" t="n">
        <v>799</v>
      </c>
      <c r="H76" s="0" t="n">
        <v>15</v>
      </c>
      <c r="I76" s="3" t="s">
        <v>172</v>
      </c>
      <c r="J76" s="0" t="n">
        <v>5</v>
      </c>
      <c r="K76" s="3" t="s">
        <v>43</v>
      </c>
      <c r="L76" s="0" t="str">
        <f aca="false">VLOOKUP(D76,Products!$A$2:$D$13,2,FALSE())</f>
        <v>Accessories</v>
      </c>
      <c r="M76" s="3" t="n">
        <f aca="false">F76*G76*(1-H76/100)</f>
        <v>2037.45</v>
      </c>
      <c r="N76" s="0" t="str">
        <f aca="false">VLOOKUP(I76,Customers!$A$2:$D$121,3,FALSE())</f>
        <v>Delhi</v>
      </c>
      <c r="O76" s="0" t="str">
        <f aca="false">VLOOKUP(I76,Customers!$A$2:$D$121,4,FALSE())</f>
        <v>Retail</v>
      </c>
      <c r="P76" s="0" t="str">
        <f aca="false">TEXT(B76,"yyyy-mm")</f>
        <v>2026-01</v>
      </c>
    </row>
    <row r="77" customFormat="false" ht="15" hidden="false" customHeight="false" outlineLevel="0" collapsed="false">
      <c r="A77" s="0" t="s">
        <v>173</v>
      </c>
      <c r="B77" s="2" t="n">
        <v>45900</v>
      </c>
      <c r="C77" s="3" t="s">
        <v>72</v>
      </c>
      <c r="D77" s="3" t="s">
        <v>60</v>
      </c>
      <c r="E77" s="3" t="s">
        <v>73</v>
      </c>
      <c r="F77" s="0" t="n">
        <v>3</v>
      </c>
      <c r="G77" s="0" t="n">
        <v>40</v>
      </c>
      <c r="H77" s="0" t="n">
        <v>5</v>
      </c>
      <c r="I77" s="3" t="s">
        <v>174</v>
      </c>
      <c r="J77" s="0" t="n">
        <v>5</v>
      </c>
      <c r="K77" s="3" t="s">
        <v>26</v>
      </c>
      <c r="L77" s="0" t="str">
        <f aca="false">VLOOKUP(D77,Products!$A$2:$D$13,2,FALSE())</f>
        <v>Stationery</v>
      </c>
      <c r="M77" s="3" t="n">
        <f aca="false">F77*G77*(1-H77/100)</f>
        <v>114</v>
      </c>
      <c r="N77" s="0" t="str">
        <f aca="false">VLOOKUP(I77,Customers!$A$2:$D$121,3,FALSE())</f>
        <v>Lucknow</v>
      </c>
      <c r="O77" s="0" t="str">
        <f aca="false">VLOOKUP(I77,Customers!$A$2:$D$121,4,FALSE())</f>
        <v>Student</v>
      </c>
      <c r="P77" s="0" t="str">
        <f aca="false">TEXT(B77,"yyyy-mm")</f>
        <v>2025-08</v>
      </c>
    </row>
    <row r="78" customFormat="false" ht="15" hidden="false" customHeight="false" outlineLevel="0" collapsed="false">
      <c r="A78" s="0" t="s">
        <v>175</v>
      </c>
      <c r="B78" s="2" t="n">
        <v>45887</v>
      </c>
      <c r="C78" s="3" t="s">
        <v>36</v>
      </c>
      <c r="D78" s="3" t="s">
        <v>32</v>
      </c>
      <c r="E78" s="3" t="s">
        <v>69</v>
      </c>
      <c r="F78" s="0" t="n">
        <v>1</v>
      </c>
      <c r="G78" s="0" t="n">
        <v>249</v>
      </c>
      <c r="H78" s="0" t="n">
        <v>5</v>
      </c>
      <c r="I78" s="3" t="s">
        <v>96</v>
      </c>
      <c r="J78" s="0" t="n">
        <v>1</v>
      </c>
      <c r="K78" s="3" t="s">
        <v>43</v>
      </c>
      <c r="L78" s="0" t="str">
        <f aca="false">VLOOKUP(D78,Products!$A$2:$D$13,2,FALSE())</f>
        <v>Accessories</v>
      </c>
      <c r="M78" s="3" t="n">
        <f aca="false">F78*G78*(1-H78/100)</f>
        <v>236.55</v>
      </c>
      <c r="N78" s="0" t="str">
        <f aca="false">VLOOKUP(I78,Customers!$A$2:$D$121,3,FALSE())</f>
        <v>Delhi</v>
      </c>
      <c r="O78" s="0" t="str">
        <f aca="false">VLOOKUP(I78,Customers!$A$2:$D$121,4,FALSE())</f>
        <v>Retail</v>
      </c>
      <c r="P78" s="0" t="str">
        <f aca="false">TEXT(B78,"yyyy-mm")</f>
        <v>2025-08</v>
      </c>
    </row>
    <row r="79" customFormat="false" ht="15" hidden="false" customHeight="false" outlineLevel="0" collapsed="false">
      <c r="A79" s="0" t="s">
        <v>176</v>
      </c>
      <c r="B79" s="2" t="n">
        <v>45987</v>
      </c>
      <c r="C79" s="3" t="s">
        <v>36</v>
      </c>
      <c r="D79" s="3" t="s">
        <v>48</v>
      </c>
      <c r="E79" s="3" t="s">
        <v>69</v>
      </c>
      <c r="F79" s="0" t="n">
        <v>1</v>
      </c>
      <c r="G79" s="0" t="n">
        <v>199</v>
      </c>
      <c r="H79" s="0" t="n">
        <v>0</v>
      </c>
      <c r="I79" s="3" t="s">
        <v>46</v>
      </c>
      <c r="J79" s="0" t="n">
        <v>4</v>
      </c>
      <c r="K79" s="3" t="s">
        <v>21</v>
      </c>
      <c r="L79" s="0" t="str">
        <f aca="false">VLOOKUP(D79,Products!$A$2:$D$13,2,FALSE())</f>
        <v>Home</v>
      </c>
      <c r="M79" s="3" t="n">
        <f aca="false">F79*G79*(1-H79/100)</f>
        <v>199</v>
      </c>
      <c r="N79" s="0" t="str">
        <f aca="false">VLOOKUP(I79,Customers!$A$2:$D$121,3,FALSE())</f>
        <v>Indore</v>
      </c>
      <c r="O79" s="0" t="str">
        <f aca="false">VLOOKUP(I79,Customers!$A$2:$D$121,4,FALSE())</f>
        <v>Student</v>
      </c>
      <c r="P79" s="0" t="str">
        <f aca="false">TEXT(B79,"yyyy-mm")</f>
        <v>2025-11</v>
      </c>
    </row>
    <row r="80" customFormat="false" ht="15" hidden="false" customHeight="false" outlineLevel="0" collapsed="false">
      <c r="A80" s="0" t="s">
        <v>177</v>
      </c>
      <c r="B80" s="2" t="n">
        <v>45817</v>
      </c>
      <c r="C80" s="3" t="s">
        <v>51</v>
      </c>
      <c r="D80" s="3" t="s">
        <v>45</v>
      </c>
      <c r="E80" s="3" t="s">
        <v>83</v>
      </c>
      <c r="F80" s="0" t="n">
        <v>1</v>
      </c>
      <c r="G80" s="0" t="n">
        <v>30</v>
      </c>
      <c r="H80" s="0" t="n">
        <v>5</v>
      </c>
      <c r="I80" s="3" t="s">
        <v>178</v>
      </c>
      <c r="J80" s="0" t="n">
        <v>2</v>
      </c>
      <c r="K80" s="3" t="s">
        <v>34</v>
      </c>
      <c r="L80" s="0" t="str">
        <f aca="false">VLOOKUP(D80,Products!$A$2:$D$13,2,FALSE())</f>
        <v>Stationery</v>
      </c>
      <c r="M80" s="3" t="n">
        <f aca="false">F80*G80*(1-H80/100)</f>
        <v>28.5</v>
      </c>
      <c r="N80" s="0" t="str">
        <f aca="false">VLOOKUP(I80,Customers!$A$2:$D$121,3,FALSE())</f>
        <v>Nagpur</v>
      </c>
      <c r="O80" s="0" t="str">
        <f aca="false">VLOOKUP(I80,Customers!$A$2:$D$121,4,FALSE())</f>
        <v>Student</v>
      </c>
      <c r="P80" s="0" t="str">
        <f aca="false">TEXT(B80,"yyyy-mm")</f>
        <v>2025-06</v>
      </c>
    </row>
    <row r="81" customFormat="false" ht="15" hidden="false" customHeight="false" outlineLevel="0" collapsed="false">
      <c r="A81" s="0" t="s">
        <v>179</v>
      </c>
      <c r="B81" s="2" t="n">
        <v>45915</v>
      </c>
      <c r="C81" s="3" t="s">
        <v>51</v>
      </c>
      <c r="D81" s="3" t="s">
        <v>28</v>
      </c>
      <c r="E81" s="3" t="s">
        <v>83</v>
      </c>
      <c r="F81" s="0" t="n">
        <v>4</v>
      </c>
      <c r="G81" s="0" t="n">
        <v>450</v>
      </c>
      <c r="H81" s="0" t="n">
        <v>0</v>
      </c>
      <c r="I81" s="3" t="s">
        <v>33</v>
      </c>
      <c r="J81" s="0" t="n">
        <v>5</v>
      </c>
      <c r="K81" s="3" t="s">
        <v>43</v>
      </c>
      <c r="L81" s="0" t="str">
        <f aca="false">VLOOKUP(D81,Products!$A$2:$D$13,2,FALSE())</f>
        <v>Electronics</v>
      </c>
      <c r="M81" s="3" t="n">
        <f aca="false">F81*G81*(1-H81/100)</f>
        <v>1800</v>
      </c>
      <c r="N81" s="0" t="str">
        <f aca="false">VLOOKUP(I81,Customers!$A$2:$D$121,3,FALSE())</f>
        <v>Indore</v>
      </c>
      <c r="O81" s="0" t="str">
        <f aca="false">VLOOKUP(I81,Customers!$A$2:$D$121,4,FALSE())</f>
        <v>Corporate</v>
      </c>
      <c r="P81" s="0" t="str">
        <f aca="false">TEXT(B81,"yyyy-mm")</f>
        <v>2025-09</v>
      </c>
    </row>
    <row r="82" customFormat="false" ht="15" hidden="false" customHeight="false" outlineLevel="0" collapsed="false">
      <c r="A82" s="0" t="s">
        <v>180</v>
      </c>
      <c r="B82" s="2" t="n">
        <v>45988</v>
      </c>
      <c r="C82" s="3" t="s">
        <v>17</v>
      </c>
      <c r="D82" s="3" t="s">
        <v>37</v>
      </c>
      <c r="E82" s="3" t="s">
        <v>93</v>
      </c>
      <c r="F82" s="0" t="n">
        <v>2</v>
      </c>
      <c r="G82" s="0" t="n">
        <v>500</v>
      </c>
      <c r="H82" s="0" t="n">
        <v>0</v>
      </c>
      <c r="I82" s="3" t="s">
        <v>65</v>
      </c>
      <c r="J82" s="0" t="n">
        <v>4</v>
      </c>
      <c r="K82" s="3" t="s">
        <v>26</v>
      </c>
      <c r="L82" s="0" t="str">
        <f aca="false">VLOOKUP(D82,Products!$A$2:$D$13,2,FALSE())</f>
        <v>Electronics</v>
      </c>
      <c r="M82" s="3" t="n">
        <f aca="false">F82*G82*(1-H82/100)</f>
        <v>1000</v>
      </c>
      <c r="N82" s="0" t="str">
        <f aca="false">VLOOKUP(I82,Customers!$A$2:$D$121,3,FALSE())</f>
        <v>Jaipur</v>
      </c>
      <c r="O82" s="0" t="str">
        <f aca="false">VLOOKUP(I82,Customers!$A$2:$D$121,4,FALSE())</f>
        <v>Student</v>
      </c>
      <c r="P82" s="0" t="str">
        <f aca="false">TEXT(B82,"yyyy-mm")</f>
        <v>2025-11</v>
      </c>
    </row>
    <row r="83" customFormat="false" ht="15" hidden="false" customHeight="false" outlineLevel="0" collapsed="false">
      <c r="A83" s="0" t="s">
        <v>181</v>
      </c>
      <c r="B83" s="2" t="n">
        <v>46081</v>
      </c>
      <c r="C83" s="3" t="s">
        <v>17</v>
      </c>
      <c r="D83" s="3" t="s">
        <v>18</v>
      </c>
      <c r="E83" s="3" t="s">
        <v>19</v>
      </c>
      <c r="F83" s="0" t="n">
        <v>1</v>
      </c>
      <c r="G83" s="0" t="n">
        <v>349</v>
      </c>
      <c r="H83" s="0" t="n">
        <v>0</v>
      </c>
      <c r="I83" s="3" t="s">
        <v>182</v>
      </c>
      <c r="J83" s="0" t="n">
        <v>1</v>
      </c>
      <c r="K83" s="3" t="s">
        <v>26</v>
      </c>
      <c r="L83" s="0" t="str">
        <f aca="false">VLOOKUP(D83,Products!$A$2:$D$13,2,FALSE())</f>
        <v>Home</v>
      </c>
      <c r="M83" s="3" t="n">
        <f aca="false">F83*G83*(1-H83/100)</f>
        <v>349</v>
      </c>
      <c r="N83" s="0" t="str">
        <f aca="false">VLOOKUP(I83,Customers!$A$2:$D$121,3,FALSE())</f>
        <v>Pune</v>
      </c>
      <c r="O83" s="0" t="str">
        <f aca="false">VLOOKUP(I83,Customers!$A$2:$D$121,4,FALSE())</f>
        <v>Corporate</v>
      </c>
      <c r="P83" s="0" t="str">
        <f aca="false">TEXT(B83,"yyyy-mm")</f>
        <v>2026-02</v>
      </c>
    </row>
    <row r="84" customFormat="false" ht="15" hidden="false" customHeight="false" outlineLevel="0" collapsed="false">
      <c r="A84" s="0" t="s">
        <v>183</v>
      </c>
      <c r="B84" s="2" t="n">
        <v>45826</v>
      </c>
      <c r="C84" s="3" t="s">
        <v>23</v>
      </c>
      <c r="D84" s="3" t="s">
        <v>60</v>
      </c>
      <c r="E84" s="3" t="s">
        <v>24</v>
      </c>
      <c r="F84" s="0" t="n">
        <v>1</v>
      </c>
      <c r="G84" s="0" t="n">
        <v>40</v>
      </c>
      <c r="H84" s="0" t="n">
        <v>0</v>
      </c>
      <c r="I84" s="3" t="s">
        <v>123</v>
      </c>
      <c r="J84" s="0" t="n">
        <v>4</v>
      </c>
      <c r="K84" s="3" t="s">
        <v>26</v>
      </c>
      <c r="L84" s="0" t="str">
        <f aca="false">VLOOKUP(D84,Products!$A$2:$D$13,2,FALSE())</f>
        <v>Stationery</v>
      </c>
      <c r="M84" s="3" t="n">
        <f aca="false">F84*G84*(1-H84/100)</f>
        <v>40</v>
      </c>
      <c r="N84" s="0" t="str">
        <f aca="false">VLOOKUP(I84,Customers!$A$2:$D$121,3,FALSE())</f>
        <v>Chennai</v>
      </c>
      <c r="O84" s="0" t="str">
        <f aca="false">VLOOKUP(I84,Customers!$A$2:$D$121,4,FALSE())</f>
        <v>Student</v>
      </c>
      <c r="P84" s="0" t="str">
        <f aca="false">TEXT(B84,"yyyy-mm")</f>
        <v>2025-06</v>
      </c>
    </row>
    <row r="85" customFormat="false" ht="15" hidden="false" customHeight="false" outlineLevel="0" collapsed="false">
      <c r="A85" s="0" t="s">
        <v>184</v>
      </c>
      <c r="B85" s="2" t="n">
        <v>45936</v>
      </c>
      <c r="C85" s="3" t="s">
        <v>72</v>
      </c>
      <c r="D85" s="3" t="s">
        <v>32</v>
      </c>
      <c r="E85" s="3" t="s">
        <v>89</v>
      </c>
      <c r="F85" s="0" t="n">
        <v>1</v>
      </c>
      <c r="G85" s="0" t="n">
        <v>249</v>
      </c>
      <c r="H85" s="0" t="n">
        <v>0</v>
      </c>
      <c r="I85" s="3" t="s">
        <v>185</v>
      </c>
      <c r="J85" s="0" t="n">
        <v>4</v>
      </c>
      <c r="K85" s="3" t="s">
        <v>26</v>
      </c>
      <c r="L85" s="0" t="str">
        <f aca="false">VLOOKUP(D85,Products!$A$2:$D$13,2,FALSE())</f>
        <v>Accessories</v>
      </c>
      <c r="M85" s="3" t="n">
        <f aca="false">F85*G85*(1-H85/100)</f>
        <v>249</v>
      </c>
      <c r="N85" s="0" t="str">
        <f aca="false">VLOOKUP(I85,Customers!$A$2:$D$121,3,FALSE())</f>
        <v>Indore</v>
      </c>
      <c r="O85" s="0" t="str">
        <f aca="false">VLOOKUP(I85,Customers!$A$2:$D$121,4,FALSE())</f>
        <v>Corporate</v>
      </c>
      <c r="P85" s="0" t="str">
        <f aca="false">TEXT(B85,"yyyy-mm")</f>
        <v>2025-10</v>
      </c>
    </row>
    <row r="86" customFormat="false" ht="15" hidden="false" customHeight="false" outlineLevel="0" collapsed="false">
      <c r="A86" s="0" t="s">
        <v>186</v>
      </c>
      <c r="B86" s="2" t="n">
        <v>46044</v>
      </c>
      <c r="C86" s="3" t="s">
        <v>17</v>
      </c>
      <c r="D86" s="3" t="s">
        <v>37</v>
      </c>
      <c r="E86" s="3" t="s">
        <v>93</v>
      </c>
      <c r="F86" s="0" t="n">
        <v>1</v>
      </c>
      <c r="G86" s="0" t="n">
        <v>500</v>
      </c>
      <c r="H86" s="0" t="n">
        <v>0</v>
      </c>
      <c r="I86" s="3" t="s">
        <v>110</v>
      </c>
      <c r="J86" s="0" t="n">
        <v>3</v>
      </c>
      <c r="K86" s="3" t="s">
        <v>43</v>
      </c>
      <c r="L86" s="0" t="str">
        <f aca="false">VLOOKUP(D86,Products!$A$2:$D$13,2,FALSE())</f>
        <v>Electronics</v>
      </c>
      <c r="M86" s="3" t="n">
        <f aca="false">F86*G86*(1-H86/100)</f>
        <v>500</v>
      </c>
      <c r="N86" s="0" t="str">
        <f aca="false">VLOOKUP(I86,Customers!$A$2:$D$121,3,FALSE())</f>
        <v>Pune</v>
      </c>
      <c r="O86" s="0" t="str">
        <f aca="false">VLOOKUP(I86,Customers!$A$2:$D$121,4,FALSE())</f>
        <v>Retail</v>
      </c>
      <c r="P86" s="0" t="str">
        <f aca="false">TEXT(B86,"yyyy-mm")</f>
        <v>2026-01</v>
      </c>
    </row>
    <row r="87" customFormat="false" ht="15" hidden="false" customHeight="false" outlineLevel="0" collapsed="false">
      <c r="A87" s="0" t="s">
        <v>187</v>
      </c>
      <c r="B87" s="2" t="n">
        <v>45786</v>
      </c>
      <c r="C87" s="3" t="s">
        <v>36</v>
      </c>
      <c r="D87" s="3" t="s">
        <v>48</v>
      </c>
      <c r="E87" s="3" t="s">
        <v>38</v>
      </c>
      <c r="F87" s="0" t="n">
        <v>3</v>
      </c>
      <c r="G87" s="0" t="n">
        <v>199</v>
      </c>
      <c r="H87" s="0" t="n">
        <v>10</v>
      </c>
      <c r="I87" s="3" t="s">
        <v>161</v>
      </c>
      <c r="J87" s="0" t="n">
        <v>5</v>
      </c>
      <c r="K87" s="3" t="s">
        <v>21</v>
      </c>
      <c r="L87" s="0" t="str">
        <f aca="false">VLOOKUP(D87,Products!$A$2:$D$13,2,FALSE())</f>
        <v>Home</v>
      </c>
      <c r="M87" s="3" t="n">
        <f aca="false">F87*G87*(1-H87/100)</f>
        <v>537.3</v>
      </c>
      <c r="N87" s="0" t="str">
        <f aca="false">VLOOKUP(I87,Customers!$A$2:$D$121,3,FALSE())</f>
        <v>Lucknow</v>
      </c>
      <c r="O87" s="0" t="str">
        <f aca="false">VLOOKUP(I87,Customers!$A$2:$D$121,4,FALSE())</f>
        <v>Corporate</v>
      </c>
      <c r="P87" s="0" t="str">
        <f aca="false">TEXT(B87,"yyyy-mm")</f>
        <v>2025-05</v>
      </c>
    </row>
    <row r="88" customFormat="false" ht="15" hidden="false" customHeight="false" outlineLevel="0" collapsed="false">
      <c r="A88" s="0" t="s">
        <v>188</v>
      </c>
      <c r="B88" s="2" t="n">
        <v>46098</v>
      </c>
      <c r="C88" s="3" t="s">
        <v>72</v>
      </c>
      <c r="D88" s="3" t="s">
        <v>48</v>
      </c>
      <c r="E88" s="3" t="s">
        <v>89</v>
      </c>
      <c r="F88" s="0" t="n">
        <v>2</v>
      </c>
      <c r="G88" s="0" t="n">
        <v>199</v>
      </c>
      <c r="H88" s="0" t="n">
        <v>10</v>
      </c>
      <c r="I88" s="3" t="s">
        <v>189</v>
      </c>
      <c r="J88" s="0" t="n">
        <v>2</v>
      </c>
      <c r="K88" s="3" t="s">
        <v>34</v>
      </c>
      <c r="L88" s="0" t="str">
        <f aca="false">VLOOKUP(D88,Products!$A$2:$D$13,2,FALSE())</f>
        <v>Home</v>
      </c>
      <c r="M88" s="3" t="n">
        <f aca="false">F88*G88*(1-H88/100)</f>
        <v>358.2</v>
      </c>
      <c r="N88" s="0" t="str">
        <f aca="false">VLOOKUP(I88,Customers!$A$2:$D$121,3,FALSE())</f>
        <v>Bhopal</v>
      </c>
      <c r="O88" s="0" t="str">
        <f aca="false">VLOOKUP(I88,Customers!$A$2:$D$121,4,FALSE())</f>
        <v>Retail</v>
      </c>
      <c r="P88" s="0" t="str">
        <f aca="false">TEXT(B88,"yyyy-mm")</f>
        <v>2026-03</v>
      </c>
    </row>
    <row r="89" customFormat="false" ht="15" hidden="false" customHeight="false" outlineLevel="0" collapsed="false">
      <c r="A89" s="0" t="s">
        <v>190</v>
      </c>
      <c r="B89" s="2" t="n">
        <v>46086</v>
      </c>
      <c r="C89" s="3" t="s">
        <v>51</v>
      </c>
      <c r="D89" s="3" t="s">
        <v>57</v>
      </c>
      <c r="E89" s="3" t="s">
        <v>83</v>
      </c>
      <c r="F89" s="0" t="n">
        <v>4</v>
      </c>
      <c r="G89" s="0" t="n">
        <v>549</v>
      </c>
      <c r="H89" s="0" t="n">
        <v>0</v>
      </c>
      <c r="I89" s="3" t="s">
        <v>191</v>
      </c>
      <c r="J89" s="0" t="n">
        <v>4</v>
      </c>
      <c r="K89" s="3" t="s">
        <v>21</v>
      </c>
      <c r="L89" s="0" t="str">
        <f aca="false">VLOOKUP(D89,Products!$A$2:$D$13,2,FALSE())</f>
        <v>Accessories</v>
      </c>
      <c r="M89" s="3" t="n">
        <f aca="false">F89*G89*(1-H89/100)</f>
        <v>2196</v>
      </c>
      <c r="N89" s="0" t="str">
        <f aca="false">VLOOKUP(I89,Customers!$A$2:$D$121,3,FALSE())</f>
        <v>Lucknow</v>
      </c>
      <c r="O89" s="0" t="str">
        <f aca="false">VLOOKUP(I89,Customers!$A$2:$D$121,4,FALSE())</f>
        <v>Student</v>
      </c>
      <c r="P89" s="0" t="str">
        <f aca="false">TEXT(B89,"yyyy-mm")</f>
        <v>2026-03</v>
      </c>
    </row>
    <row r="90" customFormat="false" ht="15" hidden="false" customHeight="false" outlineLevel="0" collapsed="false">
      <c r="A90" s="0" t="s">
        <v>192</v>
      </c>
      <c r="B90" s="2" t="n">
        <v>45802</v>
      </c>
      <c r="C90" s="3" t="s">
        <v>51</v>
      </c>
      <c r="D90" s="3" t="s">
        <v>88</v>
      </c>
      <c r="E90" s="3" t="s">
        <v>83</v>
      </c>
      <c r="F90" s="0" t="n">
        <v>2</v>
      </c>
      <c r="G90" s="0" t="n">
        <v>799</v>
      </c>
      <c r="H90" s="0" t="n">
        <v>5</v>
      </c>
      <c r="I90" s="3" t="s">
        <v>193</v>
      </c>
      <c r="J90" s="0" t="n">
        <v>4</v>
      </c>
      <c r="K90" s="3" t="s">
        <v>26</v>
      </c>
      <c r="L90" s="0" t="str">
        <f aca="false">VLOOKUP(D90,Products!$A$2:$D$13,2,FALSE())</f>
        <v>Accessories</v>
      </c>
      <c r="M90" s="3" t="n">
        <f aca="false">F90*G90*(1-H90/100)</f>
        <v>1518.1</v>
      </c>
      <c r="N90" s="0" t="str">
        <f aca="false">VLOOKUP(I90,Customers!$A$2:$D$121,3,FALSE())</f>
        <v>Delhi</v>
      </c>
      <c r="O90" s="0" t="str">
        <f aca="false">VLOOKUP(I90,Customers!$A$2:$D$121,4,FALSE())</f>
        <v>Retail</v>
      </c>
      <c r="P90" s="0" t="str">
        <f aca="false">TEXT(B90,"yyyy-mm")</f>
        <v>2025-05</v>
      </c>
    </row>
    <row r="91" customFormat="false" ht="15" hidden="false" customHeight="false" outlineLevel="0" collapsed="false">
      <c r="A91" s="0" t="s">
        <v>194</v>
      </c>
      <c r="B91" s="2" t="n">
        <v>46015</v>
      </c>
      <c r="C91" s="3" t="s">
        <v>36</v>
      </c>
      <c r="D91" s="3" t="s">
        <v>88</v>
      </c>
      <c r="E91" s="3" t="s">
        <v>69</v>
      </c>
      <c r="F91" s="0" t="n">
        <v>1</v>
      </c>
      <c r="G91" s="0" t="n">
        <v>799</v>
      </c>
      <c r="H91" s="0" t="n">
        <v>15</v>
      </c>
      <c r="I91" s="3" t="s">
        <v>195</v>
      </c>
      <c r="J91" s="0" t="n">
        <v>4</v>
      </c>
      <c r="K91" s="3" t="s">
        <v>43</v>
      </c>
      <c r="L91" s="0" t="str">
        <f aca="false">VLOOKUP(D91,Products!$A$2:$D$13,2,FALSE())</f>
        <v>Accessories</v>
      </c>
      <c r="M91" s="3" t="n">
        <f aca="false">F91*G91*(1-H91/100)</f>
        <v>679.15</v>
      </c>
      <c r="N91" s="0" t="str">
        <f aca="false">VLOOKUP(I91,Customers!$A$2:$D$121,3,FALSE())</f>
        <v>Pune</v>
      </c>
      <c r="O91" s="0" t="str">
        <f aca="false">VLOOKUP(I91,Customers!$A$2:$D$121,4,FALSE())</f>
        <v>Student</v>
      </c>
      <c r="P91" s="0" t="str">
        <f aca="false">TEXT(B91,"yyyy-mm")</f>
        <v>2025-12</v>
      </c>
    </row>
    <row r="92" customFormat="false" ht="15" hidden="false" customHeight="false" outlineLevel="0" collapsed="false">
      <c r="A92" s="0" t="s">
        <v>196</v>
      </c>
      <c r="B92" s="2" t="n">
        <v>45885</v>
      </c>
      <c r="C92" s="3" t="s">
        <v>23</v>
      </c>
      <c r="D92" s="3" t="s">
        <v>88</v>
      </c>
      <c r="E92" s="3" t="s">
        <v>24</v>
      </c>
      <c r="F92" s="0" t="n">
        <v>3</v>
      </c>
      <c r="G92" s="0" t="n">
        <v>799</v>
      </c>
      <c r="H92" s="0" t="n">
        <v>0</v>
      </c>
      <c r="I92" s="3" t="s">
        <v>174</v>
      </c>
      <c r="J92" s="0" t="n">
        <v>3</v>
      </c>
      <c r="K92" s="3" t="s">
        <v>34</v>
      </c>
      <c r="L92" s="0" t="str">
        <f aca="false">VLOOKUP(D92,Products!$A$2:$D$13,2,FALSE())</f>
        <v>Accessories</v>
      </c>
      <c r="M92" s="3" t="n">
        <f aca="false">F92*G92*(1-H92/100)</f>
        <v>2397</v>
      </c>
      <c r="N92" s="0" t="str">
        <f aca="false">VLOOKUP(I92,Customers!$A$2:$D$121,3,FALSE())</f>
        <v>Lucknow</v>
      </c>
      <c r="O92" s="0" t="str">
        <f aca="false">VLOOKUP(I92,Customers!$A$2:$D$121,4,FALSE())</f>
        <v>Student</v>
      </c>
      <c r="P92" s="0" t="str">
        <f aca="false">TEXT(B92,"yyyy-mm")</f>
        <v>2025-08</v>
      </c>
    </row>
    <row r="93" customFormat="false" ht="15" hidden="false" customHeight="false" outlineLevel="0" collapsed="false">
      <c r="A93" s="0" t="s">
        <v>197</v>
      </c>
      <c r="B93" s="2" t="n">
        <v>45985</v>
      </c>
      <c r="C93" s="3" t="s">
        <v>36</v>
      </c>
      <c r="D93" s="3" t="s">
        <v>32</v>
      </c>
      <c r="E93" s="3" t="s">
        <v>69</v>
      </c>
      <c r="F93" s="0" t="n">
        <v>3</v>
      </c>
      <c r="G93" s="0" t="n">
        <v>249</v>
      </c>
      <c r="H93" s="0" t="n">
        <v>10</v>
      </c>
      <c r="I93" s="3" t="s">
        <v>198</v>
      </c>
      <c r="J93" s="0" t="n">
        <v>4</v>
      </c>
      <c r="K93" s="3" t="s">
        <v>21</v>
      </c>
      <c r="L93" s="0" t="str">
        <f aca="false">VLOOKUP(D93,Products!$A$2:$D$13,2,FALSE())</f>
        <v>Accessories</v>
      </c>
      <c r="M93" s="3" t="n">
        <f aca="false">F93*G93*(1-H93/100)</f>
        <v>672.3</v>
      </c>
      <c r="N93" s="0" t="str">
        <f aca="false">VLOOKUP(I93,Customers!$A$2:$D$121,3,FALSE())</f>
        <v>Bhopal</v>
      </c>
      <c r="O93" s="0" t="str">
        <f aca="false">VLOOKUP(I93,Customers!$A$2:$D$121,4,FALSE())</f>
        <v>Student</v>
      </c>
      <c r="P93" s="0" t="str">
        <f aca="false">TEXT(B93,"yyyy-mm")</f>
        <v>2025-11</v>
      </c>
    </row>
    <row r="94" customFormat="false" ht="15" hidden="false" customHeight="false" outlineLevel="0" collapsed="false">
      <c r="A94" s="0" t="s">
        <v>199</v>
      </c>
      <c r="B94" s="2" t="n">
        <v>45841</v>
      </c>
      <c r="C94" s="3" t="s">
        <v>72</v>
      </c>
      <c r="D94" s="3" t="s">
        <v>32</v>
      </c>
      <c r="E94" s="3" t="s">
        <v>73</v>
      </c>
      <c r="F94" s="0" t="n">
        <v>2</v>
      </c>
      <c r="G94" s="0" t="n">
        <v>249</v>
      </c>
      <c r="H94" s="0" t="n">
        <v>5</v>
      </c>
      <c r="I94" s="3" t="s">
        <v>86</v>
      </c>
      <c r="J94" s="0" t="n">
        <v>4</v>
      </c>
      <c r="K94" s="3" t="s">
        <v>34</v>
      </c>
      <c r="L94" s="0" t="str">
        <f aca="false">VLOOKUP(D94,Products!$A$2:$D$13,2,FALSE())</f>
        <v>Accessories</v>
      </c>
      <c r="M94" s="3" t="n">
        <f aca="false">F94*G94*(1-H94/100)</f>
        <v>473.1</v>
      </c>
      <c r="N94" s="0" t="str">
        <f aca="false">VLOOKUP(I94,Customers!$A$2:$D$121,3,FALSE())</f>
        <v>Kolkata</v>
      </c>
      <c r="O94" s="0" t="str">
        <f aca="false">VLOOKUP(I94,Customers!$A$2:$D$121,4,FALSE())</f>
        <v>Student</v>
      </c>
      <c r="P94" s="0" t="str">
        <f aca="false">TEXT(B94,"yyyy-mm")</f>
        <v>2025-07</v>
      </c>
    </row>
    <row r="95" customFormat="false" ht="15" hidden="false" customHeight="false" outlineLevel="0" collapsed="false">
      <c r="A95" s="0" t="s">
        <v>200</v>
      </c>
      <c r="B95" s="2" t="n">
        <v>46107</v>
      </c>
      <c r="C95" s="3" t="s">
        <v>23</v>
      </c>
      <c r="D95" s="3" t="s">
        <v>37</v>
      </c>
      <c r="E95" s="3" t="s">
        <v>24</v>
      </c>
      <c r="F95" s="0" t="n">
        <v>3</v>
      </c>
      <c r="G95" s="0" t="n">
        <v>500</v>
      </c>
      <c r="H95" s="0" t="n">
        <v>0</v>
      </c>
      <c r="I95" s="3" t="s">
        <v>30</v>
      </c>
      <c r="J95" s="0" t="n">
        <v>1</v>
      </c>
      <c r="K95" s="3" t="s">
        <v>21</v>
      </c>
      <c r="L95" s="0" t="str">
        <f aca="false">VLOOKUP(D95,Products!$A$2:$D$13,2,FALSE())</f>
        <v>Electronics</v>
      </c>
      <c r="M95" s="3" t="n">
        <f aca="false">F95*G95*(1-H95/100)</f>
        <v>1500</v>
      </c>
      <c r="N95" s="0" t="str">
        <f aca="false">VLOOKUP(I95,Customers!$A$2:$D$121,3,FALSE())</f>
        <v>Chennai</v>
      </c>
      <c r="O95" s="0" t="str">
        <f aca="false">VLOOKUP(I95,Customers!$A$2:$D$121,4,FALSE())</f>
        <v>Student</v>
      </c>
      <c r="P95" s="0" t="str">
        <f aca="false">TEXT(B95,"yyyy-mm")</f>
        <v>2026-03</v>
      </c>
    </row>
    <row r="96" customFormat="false" ht="15" hidden="false" customHeight="false" outlineLevel="0" collapsed="false">
      <c r="A96" s="0" t="s">
        <v>201</v>
      </c>
      <c r="B96" s="2" t="n">
        <v>45998</v>
      </c>
      <c r="C96" s="3" t="s">
        <v>51</v>
      </c>
      <c r="D96" s="3" t="s">
        <v>28</v>
      </c>
      <c r="E96" s="3" t="s">
        <v>83</v>
      </c>
      <c r="F96" s="0" t="n">
        <v>2</v>
      </c>
      <c r="G96" s="0" t="n">
        <v>450</v>
      </c>
      <c r="H96" s="0" t="n">
        <v>10</v>
      </c>
      <c r="I96" s="3" t="s">
        <v>33</v>
      </c>
      <c r="J96" s="0" t="n">
        <v>3</v>
      </c>
      <c r="K96" s="3" t="s">
        <v>43</v>
      </c>
      <c r="L96" s="0" t="str">
        <f aca="false">VLOOKUP(D96,Products!$A$2:$D$13,2,FALSE())</f>
        <v>Electronics</v>
      </c>
      <c r="M96" s="3" t="n">
        <f aca="false">F96*G96*(1-H96/100)</f>
        <v>810</v>
      </c>
      <c r="N96" s="0" t="str">
        <f aca="false">VLOOKUP(I96,Customers!$A$2:$D$121,3,FALSE())</f>
        <v>Indore</v>
      </c>
      <c r="O96" s="0" t="str">
        <f aca="false">VLOOKUP(I96,Customers!$A$2:$D$121,4,FALSE())</f>
        <v>Corporate</v>
      </c>
      <c r="P96" s="0" t="str">
        <f aca="false">TEXT(B96,"yyyy-mm")</f>
        <v>2025-12</v>
      </c>
    </row>
    <row r="97" customFormat="false" ht="15" hidden="false" customHeight="false" outlineLevel="0" collapsed="false">
      <c r="A97" s="0" t="s">
        <v>202</v>
      </c>
      <c r="B97" s="2" t="n">
        <v>45795</v>
      </c>
      <c r="C97" s="3" t="s">
        <v>17</v>
      </c>
      <c r="D97" s="3" t="s">
        <v>32</v>
      </c>
      <c r="E97" s="3" t="s">
        <v>19</v>
      </c>
      <c r="F97" s="0" t="n">
        <v>2</v>
      </c>
      <c r="G97" s="0" t="n">
        <v>249</v>
      </c>
      <c r="H97" s="0" t="n">
        <v>0</v>
      </c>
      <c r="I97" s="3" t="s">
        <v>203</v>
      </c>
      <c r="J97" s="0" t="n">
        <v>4</v>
      </c>
      <c r="K97" s="3" t="s">
        <v>34</v>
      </c>
      <c r="L97" s="0" t="str">
        <f aca="false">VLOOKUP(D97,Products!$A$2:$D$13,2,FALSE())</f>
        <v>Accessories</v>
      </c>
      <c r="M97" s="3" t="n">
        <f aca="false">F97*G97*(1-H97/100)</f>
        <v>498</v>
      </c>
      <c r="N97" s="0" t="str">
        <f aca="false">VLOOKUP(I97,Customers!$A$2:$D$121,3,FALSE())</f>
        <v>Jaipur</v>
      </c>
      <c r="O97" s="0" t="str">
        <f aca="false">VLOOKUP(I97,Customers!$A$2:$D$121,4,FALSE())</f>
        <v>Corporate</v>
      </c>
      <c r="P97" s="0" t="str">
        <f aca="false">TEXT(B97,"yyyy-mm")</f>
        <v>2025-05</v>
      </c>
    </row>
    <row r="98" customFormat="false" ht="15" hidden="false" customHeight="false" outlineLevel="0" collapsed="false">
      <c r="A98" s="0" t="s">
        <v>204</v>
      </c>
      <c r="B98" s="2" t="n">
        <v>45936</v>
      </c>
      <c r="C98" s="3" t="s">
        <v>23</v>
      </c>
      <c r="D98" s="3" t="s">
        <v>18</v>
      </c>
      <c r="E98" s="3" t="s">
        <v>29</v>
      </c>
      <c r="F98" s="0" t="n">
        <v>1</v>
      </c>
      <c r="G98" s="0" t="n">
        <v>349</v>
      </c>
      <c r="H98" s="0" t="n">
        <v>5</v>
      </c>
      <c r="I98" s="3" t="s">
        <v>205</v>
      </c>
      <c r="J98" s="0" t="n">
        <v>4</v>
      </c>
      <c r="K98" s="3" t="s">
        <v>34</v>
      </c>
      <c r="L98" s="0" t="str">
        <f aca="false">VLOOKUP(D98,Products!$A$2:$D$13,2,FALSE())</f>
        <v>Home</v>
      </c>
      <c r="M98" s="3" t="n">
        <f aca="false">F98*G98*(1-H98/100)</f>
        <v>331.55</v>
      </c>
      <c r="N98" s="0" t="str">
        <f aca="false">VLOOKUP(I98,Customers!$A$2:$D$121,3,FALSE())</f>
        <v>Jaipur</v>
      </c>
      <c r="O98" s="0" t="str">
        <f aca="false">VLOOKUP(I98,Customers!$A$2:$D$121,4,FALSE())</f>
        <v>Student</v>
      </c>
      <c r="P98" s="0" t="str">
        <f aca="false">TEXT(B98,"yyyy-mm")</f>
        <v>2025-10</v>
      </c>
    </row>
    <row r="99" customFormat="false" ht="15" hidden="false" customHeight="false" outlineLevel="0" collapsed="false">
      <c r="A99" s="0" t="s">
        <v>206</v>
      </c>
      <c r="B99" s="2" t="n">
        <v>45886</v>
      </c>
      <c r="C99" s="3" t="s">
        <v>51</v>
      </c>
      <c r="D99" s="3" t="s">
        <v>41</v>
      </c>
      <c r="E99" s="3" t="s">
        <v>52</v>
      </c>
      <c r="F99" s="0" t="n">
        <v>1</v>
      </c>
      <c r="G99" s="0" t="n">
        <v>399</v>
      </c>
      <c r="H99" s="0" t="n">
        <v>0</v>
      </c>
      <c r="I99" s="3" t="s">
        <v>128</v>
      </c>
      <c r="J99" s="0" t="n">
        <v>3</v>
      </c>
      <c r="K99" s="3" t="s">
        <v>34</v>
      </c>
      <c r="L99" s="0" t="str">
        <f aca="false">VLOOKUP(D99,Products!$A$2:$D$13,2,FALSE())</f>
        <v>Electronics</v>
      </c>
      <c r="M99" s="3" t="n">
        <f aca="false">F99*G99*(1-H99/100)</f>
        <v>399</v>
      </c>
      <c r="N99" s="0" t="str">
        <f aca="false">VLOOKUP(I99,Customers!$A$2:$D$121,3,FALSE())</f>
        <v>Indore</v>
      </c>
      <c r="O99" s="0" t="str">
        <f aca="false">VLOOKUP(I99,Customers!$A$2:$D$121,4,FALSE())</f>
        <v>Corporate</v>
      </c>
      <c r="P99" s="0" t="str">
        <f aca="false">TEXT(B99,"yyyy-mm")</f>
        <v>2025-08</v>
      </c>
    </row>
    <row r="100" customFormat="false" ht="15" hidden="false" customHeight="false" outlineLevel="0" collapsed="false">
      <c r="A100" s="0" t="s">
        <v>207</v>
      </c>
      <c r="B100" s="2" t="n">
        <v>46101</v>
      </c>
      <c r="C100" s="3" t="s">
        <v>23</v>
      </c>
      <c r="D100" s="3" t="s">
        <v>45</v>
      </c>
      <c r="E100" s="3" t="s">
        <v>29</v>
      </c>
      <c r="F100" s="0" t="n">
        <v>1</v>
      </c>
      <c r="G100" s="0" t="n">
        <v>30</v>
      </c>
      <c r="H100" s="0" t="n">
        <v>0</v>
      </c>
      <c r="I100" s="3" t="s">
        <v>102</v>
      </c>
      <c r="J100" s="0" t="n">
        <v>3</v>
      </c>
      <c r="K100" s="3" t="s">
        <v>34</v>
      </c>
      <c r="L100" s="0" t="str">
        <f aca="false">VLOOKUP(D100,Products!$A$2:$D$13,2,FALSE())</f>
        <v>Stationery</v>
      </c>
      <c r="M100" s="3" t="n">
        <f aca="false">F100*G100*(1-H100/100)</f>
        <v>30</v>
      </c>
      <c r="N100" s="0" t="str">
        <f aca="false">VLOOKUP(I100,Customers!$A$2:$D$121,3,FALSE())</f>
        <v>Jaipur</v>
      </c>
      <c r="O100" s="0" t="str">
        <f aca="false">VLOOKUP(I100,Customers!$A$2:$D$121,4,FALSE())</f>
        <v>Corporate</v>
      </c>
      <c r="P100" s="0" t="str">
        <f aca="false">TEXT(B100,"yyyy-mm")</f>
        <v>2026-03</v>
      </c>
    </row>
    <row r="101" customFormat="false" ht="15" hidden="false" customHeight="false" outlineLevel="0" collapsed="false">
      <c r="A101" s="0" t="s">
        <v>208</v>
      </c>
      <c r="B101" s="2" t="n">
        <v>46016</v>
      </c>
      <c r="C101" s="3" t="s">
        <v>23</v>
      </c>
      <c r="D101" s="3" t="s">
        <v>48</v>
      </c>
      <c r="E101" s="3" t="s">
        <v>24</v>
      </c>
      <c r="F101" s="0" t="n">
        <v>1</v>
      </c>
      <c r="G101" s="0" t="n">
        <v>199</v>
      </c>
      <c r="H101" s="0" t="n">
        <v>10</v>
      </c>
      <c r="I101" s="3" t="s">
        <v>154</v>
      </c>
      <c r="J101" s="0" t="n">
        <v>5</v>
      </c>
      <c r="K101" s="3" t="s">
        <v>34</v>
      </c>
      <c r="L101" s="0" t="str">
        <f aca="false">VLOOKUP(D101,Products!$A$2:$D$13,2,FALSE())</f>
        <v>Home</v>
      </c>
      <c r="M101" s="3" t="n">
        <f aca="false">F101*G101*(1-H101/100)</f>
        <v>179.1</v>
      </c>
      <c r="N101" s="0" t="str">
        <f aca="false">VLOOKUP(I101,Customers!$A$2:$D$121,3,FALSE())</f>
        <v>Lucknow</v>
      </c>
      <c r="O101" s="0" t="str">
        <f aca="false">VLOOKUP(I101,Customers!$A$2:$D$121,4,FALSE())</f>
        <v>Retail</v>
      </c>
      <c r="P101" s="0" t="str">
        <f aca="false">TEXT(B101,"yyyy-mm")</f>
        <v>2025-12</v>
      </c>
    </row>
    <row r="102" customFormat="false" ht="15" hidden="false" customHeight="false" outlineLevel="0" collapsed="false">
      <c r="A102" s="0" t="s">
        <v>209</v>
      </c>
      <c r="B102" s="2" t="n">
        <v>45839</v>
      </c>
      <c r="C102" s="3" t="s">
        <v>72</v>
      </c>
      <c r="D102" s="3" t="s">
        <v>28</v>
      </c>
      <c r="E102" s="3" t="s">
        <v>89</v>
      </c>
      <c r="F102" s="0" t="n">
        <v>2</v>
      </c>
      <c r="G102" s="0" t="n">
        <v>450</v>
      </c>
      <c r="H102" s="0" t="n">
        <v>0</v>
      </c>
      <c r="I102" s="3" t="s">
        <v>210</v>
      </c>
      <c r="J102" s="0" t="n">
        <v>4</v>
      </c>
      <c r="K102" s="3" t="s">
        <v>34</v>
      </c>
      <c r="L102" s="0" t="str">
        <f aca="false">VLOOKUP(D102,Products!$A$2:$D$13,2,FALSE())</f>
        <v>Electronics</v>
      </c>
      <c r="M102" s="3" t="n">
        <f aca="false">F102*G102*(1-H102/100)</f>
        <v>900</v>
      </c>
      <c r="N102" s="0" t="str">
        <f aca="false">VLOOKUP(I102,Customers!$A$2:$D$121,3,FALSE())</f>
        <v>Indore</v>
      </c>
      <c r="O102" s="0" t="str">
        <f aca="false">VLOOKUP(I102,Customers!$A$2:$D$121,4,FALSE())</f>
        <v>Student</v>
      </c>
      <c r="P102" s="0" t="str">
        <f aca="false">TEXT(B102,"yyyy-mm")</f>
        <v>2025-07</v>
      </c>
    </row>
    <row r="103" customFormat="false" ht="15" hidden="false" customHeight="false" outlineLevel="0" collapsed="false">
      <c r="A103" s="0" t="s">
        <v>211</v>
      </c>
      <c r="B103" s="2" t="n">
        <v>46031</v>
      </c>
      <c r="C103" s="3" t="s">
        <v>17</v>
      </c>
      <c r="D103" s="3" t="s">
        <v>60</v>
      </c>
      <c r="E103" s="3" t="s">
        <v>93</v>
      </c>
      <c r="F103" s="0" t="n">
        <v>1</v>
      </c>
      <c r="G103" s="0" t="n">
        <v>40</v>
      </c>
      <c r="H103" s="0" t="n">
        <v>0</v>
      </c>
      <c r="I103" s="3" t="s">
        <v>55</v>
      </c>
      <c r="J103" s="0" t="n">
        <v>5</v>
      </c>
      <c r="K103" s="3" t="s">
        <v>21</v>
      </c>
      <c r="L103" s="0" t="str">
        <f aca="false">VLOOKUP(D103,Products!$A$2:$D$13,2,FALSE())</f>
        <v>Stationery</v>
      </c>
      <c r="M103" s="3" t="n">
        <f aca="false">F103*G103*(1-H103/100)</f>
        <v>40</v>
      </c>
      <c r="N103" s="0" t="str">
        <f aca="false">VLOOKUP(I103,Customers!$A$2:$D$121,3,FALSE())</f>
        <v>Jaipur</v>
      </c>
      <c r="O103" s="0" t="str">
        <f aca="false">VLOOKUP(I103,Customers!$A$2:$D$121,4,FALSE())</f>
        <v>Corporate</v>
      </c>
      <c r="P103" s="0" t="str">
        <f aca="false">TEXT(B103,"yyyy-mm")</f>
        <v>2026-01</v>
      </c>
    </row>
    <row r="104" customFormat="false" ht="15" hidden="false" customHeight="false" outlineLevel="0" collapsed="false">
      <c r="A104" s="0" t="s">
        <v>212</v>
      </c>
      <c r="B104" s="2" t="n">
        <v>45893</v>
      </c>
      <c r="C104" s="3" t="s">
        <v>23</v>
      </c>
      <c r="D104" s="3" t="s">
        <v>60</v>
      </c>
      <c r="E104" s="3" t="s">
        <v>24</v>
      </c>
      <c r="F104" s="0" t="n">
        <v>2</v>
      </c>
      <c r="G104" s="0" t="n">
        <v>40</v>
      </c>
      <c r="H104" s="0" t="n">
        <v>5</v>
      </c>
      <c r="I104" s="3" t="s">
        <v>213</v>
      </c>
      <c r="J104" s="0" t="n">
        <v>4</v>
      </c>
      <c r="K104" s="3" t="s">
        <v>21</v>
      </c>
      <c r="L104" s="0" t="str">
        <f aca="false">VLOOKUP(D104,Products!$A$2:$D$13,2,FALSE())</f>
        <v>Stationery</v>
      </c>
      <c r="M104" s="3" t="n">
        <f aca="false">F104*G104*(1-H104/100)</f>
        <v>76</v>
      </c>
      <c r="N104" s="0" t="str">
        <f aca="false">VLOOKUP(I104,Customers!$A$2:$D$121,3,FALSE())</f>
        <v>Chennai</v>
      </c>
      <c r="O104" s="0" t="str">
        <f aca="false">VLOOKUP(I104,Customers!$A$2:$D$121,4,FALSE())</f>
        <v>Corporate</v>
      </c>
      <c r="P104" s="0" t="str">
        <f aca="false">TEXT(B104,"yyyy-mm")</f>
        <v>2025-08</v>
      </c>
    </row>
    <row r="105" customFormat="false" ht="15" hidden="false" customHeight="false" outlineLevel="0" collapsed="false">
      <c r="A105" s="0" t="s">
        <v>214</v>
      </c>
      <c r="B105" s="2" t="n">
        <v>45806</v>
      </c>
      <c r="C105" s="3" t="s">
        <v>51</v>
      </c>
      <c r="D105" s="3" t="s">
        <v>37</v>
      </c>
      <c r="E105" s="3" t="s">
        <v>52</v>
      </c>
      <c r="F105" s="0" t="n">
        <v>4</v>
      </c>
      <c r="G105" s="0" t="n">
        <v>500</v>
      </c>
      <c r="H105" s="0" t="n">
        <v>0</v>
      </c>
      <c r="I105" s="3" t="s">
        <v>61</v>
      </c>
      <c r="J105" s="0" t="n">
        <v>4</v>
      </c>
      <c r="K105" s="3" t="s">
        <v>26</v>
      </c>
      <c r="L105" s="0" t="str">
        <f aca="false">VLOOKUP(D105,Products!$A$2:$D$13,2,FALSE())</f>
        <v>Electronics</v>
      </c>
      <c r="M105" s="3" t="n">
        <f aca="false">F105*G105*(1-H105/100)</f>
        <v>2000</v>
      </c>
      <c r="N105" s="0" t="str">
        <f aca="false">VLOOKUP(I105,Customers!$A$2:$D$121,3,FALSE())</f>
        <v>Delhi</v>
      </c>
      <c r="O105" s="0" t="str">
        <f aca="false">VLOOKUP(I105,Customers!$A$2:$D$121,4,FALSE())</f>
        <v>Retail</v>
      </c>
      <c r="P105" s="0" t="str">
        <f aca="false">TEXT(B105,"yyyy-mm")</f>
        <v>2025-05</v>
      </c>
    </row>
    <row r="106" customFormat="false" ht="15" hidden="false" customHeight="false" outlineLevel="0" collapsed="false">
      <c r="A106" s="0" t="s">
        <v>215</v>
      </c>
      <c r="B106" s="2" t="n">
        <v>45903</v>
      </c>
      <c r="C106" s="3" t="s">
        <v>23</v>
      </c>
      <c r="D106" s="3" t="s">
        <v>108</v>
      </c>
      <c r="E106" s="3" t="s">
        <v>29</v>
      </c>
      <c r="F106" s="0" t="n">
        <v>1</v>
      </c>
      <c r="G106" s="0" t="n">
        <v>180</v>
      </c>
      <c r="H106" s="0" t="n">
        <v>0</v>
      </c>
      <c r="I106" s="3" t="s">
        <v>104</v>
      </c>
      <c r="J106" s="0" t="n">
        <v>2</v>
      </c>
      <c r="K106" s="3" t="s">
        <v>26</v>
      </c>
      <c r="L106" s="0" t="str">
        <f aca="false">VLOOKUP(D106,Products!$A$2:$D$13,2,FALSE())</f>
        <v>Stationery</v>
      </c>
      <c r="M106" s="3" t="n">
        <f aca="false">F106*G106*(1-H106/100)</f>
        <v>180</v>
      </c>
      <c r="N106" s="0" t="str">
        <f aca="false">VLOOKUP(I106,Customers!$A$2:$D$121,3,FALSE())</f>
        <v>Lucknow</v>
      </c>
      <c r="O106" s="0" t="str">
        <f aca="false">VLOOKUP(I106,Customers!$A$2:$D$121,4,FALSE())</f>
        <v>Student</v>
      </c>
      <c r="P106" s="0" t="str">
        <f aca="false">TEXT(B106,"yyyy-mm")</f>
        <v>2025-09</v>
      </c>
    </row>
    <row r="107" customFormat="false" ht="15" hidden="false" customHeight="false" outlineLevel="0" collapsed="false">
      <c r="A107" s="0" t="s">
        <v>216</v>
      </c>
      <c r="B107" s="2" t="n">
        <v>45978</v>
      </c>
      <c r="C107" s="3" t="s">
        <v>51</v>
      </c>
      <c r="D107" s="3" t="s">
        <v>57</v>
      </c>
      <c r="E107" s="3" t="s">
        <v>83</v>
      </c>
      <c r="F107" s="0" t="n">
        <v>1</v>
      </c>
      <c r="G107" s="0" t="n">
        <v>549</v>
      </c>
      <c r="H107" s="0" t="n">
        <v>5</v>
      </c>
      <c r="I107" s="3" t="s">
        <v>217</v>
      </c>
      <c r="J107" s="0" t="n">
        <v>5</v>
      </c>
      <c r="K107" s="3" t="s">
        <v>34</v>
      </c>
      <c r="L107" s="0" t="str">
        <f aca="false">VLOOKUP(D107,Products!$A$2:$D$13,2,FALSE())</f>
        <v>Accessories</v>
      </c>
      <c r="M107" s="3" t="n">
        <f aca="false">F107*G107*(1-H107/100)</f>
        <v>521.55</v>
      </c>
      <c r="N107" s="0" t="str">
        <f aca="false">VLOOKUP(I107,Customers!$A$2:$D$121,3,FALSE())</f>
        <v>Nagpur</v>
      </c>
      <c r="O107" s="0" t="str">
        <f aca="false">VLOOKUP(I107,Customers!$A$2:$D$121,4,FALSE())</f>
        <v>Student</v>
      </c>
      <c r="P107" s="0" t="str">
        <f aca="false">TEXT(B107,"yyyy-mm")</f>
        <v>2025-11</v>
      </c>
    </row>
    <row r="108" customFormat="false" ht="15" hidden="false" customHeight="false" outlineLevel="0" collapsed="false">
      <c r="A108" s="0" t="s">
        <v>218</v>
      </c>
      <c r="B108" s="2" t="n">
        <v>45778</v>
      </c>
      <c r="C108" s="3" t="s">
        <v>23</v>
      </c>
      <c r="D108" s="3" t="s">
        <v>116</v>
      </c>
      <c r="E108" s="3" t="s">
        <v>24</v>
      </c>
      <c r="F108" s="0" t="n">
        <v>3</v>
      </c>
      <c r="G108" s="0" t="n">
        <v>699</v>
      </c>
      <c r="H108" s="0" t="n">
        <v>10</v>
      </c>
      <c r="I108" s="3" t="s">
        <v>219</v>
      </c>
      <c r="J108" s="0" t="n">
        <v>2</v>
      </c>
      <c r="K108" s="3" t="s">
        <v>26</v>
      </c>
      <c r="L108" s="0" t="str">
        <f aca="false">VLOOKUP(D108,Products!$A$2:$D$13,2,FALSE())</f>
        <v>Home</v>
      </c>
      <c r="M108" s="3" t="n">
        <f aca="false">F108*G108*(1-H108/100)</f>
        <v>1887.3</v>
      </c>
      <c r="N108" s="0" t="str">
        <f aca="false">VLOOKUP(I108,Customers!$A$2:$D$121,3,FALSE())</f>
        <v>Chennai</v>
      </c>
      <c r="O108" s="0" t="str">
        <f aca="false">VLOOKUP(I108,Customers!$A$2:$D$121,4,FALSE())</f>
        <v>Retail</v>
      </c>
      <c r="P108" s="0" t="str">
        <f aca="false">TEXT(B108,"yyyy-mm")</f>
        <v>2025-05</v>
      </c>
    </row>
    <row r="109" customFormat="false" ht="15" hidden="false" customHeight="false" outlineLevel="0" collapsed="false">
      <c r="A109" s="0" t="s">
        <v>220</v>
      </c>
      <c r="B109" s="2" t="n">
        <v>45828</v>
      </c>
      <c r="C109" s="3" t="s">
        <v>17</v>
      </c>
      <c r="D109" s="3" t="s">
        <v>37</v>
      </c>
      <c r="E109" s="3" t="s">
        <v>19</v>
      </c>
      <c r="F109" s="0" t="n">
        <v>1</v>
      </c>
      <c r="G109" s="0" t="n">
        <v>500</v>
      </c>
      <c r="H109" s="0" t="n">
        <v>0</v>
      </c>
      <c r="I109" s="3" t="s">
        <v>221</v>
      </c>
      <c r="J109" s="0" t="n">
        <v>4</v>
      </c>
      <c r="K109" s="3" t="s">
        <v>21</v>
      </c>
      <c r="L109" s="0" t="str">
        <f aca="false">VLOOKUP(D109,Products!$A$2:$D$13,2,FALSE())</f>
        <v>Electronics</v>
      </c>
      <c r="M109" s="3" t="n">
        <f aca="false">F109*G109*(1-H109/100)</f>
        <v>500</v>
      </c>
      <c r="N109" s="0" t="str">
        <f aca="false">VLOOKUP(I109,Customers!$A$2:$D$121,3,FALSE())</f>
        <v>Mumbai</v>
      </c>
      <c r="O109" s="0" t="str">
        <f aca="false">VLOOKUP(I109,Customers!$A$2:$D$121,4,FALSE())</f>
        <v>Retail</v>
      </c>
      <c r="P109" s="0" t="str">
        <f aca="false">TEXT(B109,"yyyy-mm")</f>
        <v>2025-06</v>
      </c>
    </row>
    <row r="110" customFormat="false" ht="15" hidden="false" customHeight="false" outlineLevel="0" collapsed="false">
      <c r="A110" s="0" t="s">
        <v>222</v>
      </c>
      <c r="B110" s="2" t="n">
        <v>46100</v>
      </c>
      <c r="C110" s="3" t="s">
        <v>51</v>
      </c>
      <c r="D110" s="3" t="s">
        <v>88</v>
      </c>
      <c r="E110" s="3" t="s">
        <v>52</v>
      </c>
      <c r="F110" s="0" t="n">
        <v>1</v>
      </c>
      <c r="G110" s="0" t="n">
        <v>799</v>
      </c>
      <c r="H110" s="0" t="n">
        <v>10</v>
      </c>
      <c r="I110" s="3" t="s">
        <v>223</v>
      </c>
      <c r="J110" s="0" t="n">
        <v>3</v>
      </c>
      <c r="K110" s="3" t="s">
        <v>34</v>
      </c>
      <c r="L110" s="0" t="str">
        <f aca="false">VLOOKUP(D110,Products!$A$2:$D$13,2,FALSE())</f>
        <v>Accessories</v>
      </c>
      <c r="M110" s="3" t="n">
        <f aca="false">F110*G110*(1-H110/100)</f>
        <v>719.1</v>
      </c>
      <c r="N110" s="0" t="str">
        <f aca="false">VLOOKUP(I110,Customers!$A$2:$D$121,3,FALSE())</f>
        <v>Jaipur</v>
      </c>
      <c r="O110" s="0" t="str">
        <f aca="false">VLOOKUP(I110,Customers!$A$2:$D$121,4,FALSE())</f>
        <v>Student</v>
      </c>
      <c r="P110" s="0" t="str">
        <f aca="false">TEXT(B110,"yyyy-mm")</f>
        <v>2026-03</v>
      </c>
    </row>
    <row r="111" customFormat="false" ht="15" hidden="false" customHeight="false" outlineLevel="0" collapsed="false">
      <c r="A111" s="0" t="s">
        <v>224</v>
      </c>
      <c r="B111" s="2" t="n">
        <v>46107</v>
      </c>
      <c r="C111" s="3" t="s">
        <v>72</v>
      </c>
      <c r="D111" s="3" t="s">
        <v>48</v>
      </c>
      <c r="E111" s="3" t="s">
        <v>73</v>
      </c>
      <c r="F111" s="0" t="n">
        <v>1</v>
      </c>
      <c r="G111" s="0" t="n">
        <v>199</v>
      </c>
      <c r="H111" s="0" t="n">
        <v>5</v>
      </c>
      <c r="I111" s="3" t="s">
        <v>225</v>
      </c>
      <c r="J111" s="0" t="n">
        <v>4</v>
      </c>
      <c r="K111" s="3" t="s">
        <v>26</v>
      </c>
      <c r="L111" s="0" t="str">
        <f aca="false">VLOOKUP(D111,Products!$A$2:$D$13,2,FALSE())</f>
        <v>Home</v>
      </c>
      <c r="M111" s="3" t="n">
        <f aca="false">F111*G111*(1-H111/100)</f>
        <v>189.05</v>
      </c>
      <c r="N111" s="0" t="str">
        <f aca="false">VLOOKUP(I111,Customers!$A$2:$D$121,3,FALSE())</f>
        <v>Bhopal</v>
      </c>
      <c r="O111" s="0" t="str">
        <f aca="false">VLOOKUP(I111,Customers!$A$2:$D$121,4,FALSE())</f>
        <v>Retail</v>
      </c>
      <c r="P111" s="0" t="str">
        <f aca="false">TEXT(B111,"yyyy-mm")</f>
        <v>2026-03</v>
      </c>
    </row>
    <row r="112" customFormat="false" ht="15" hidden="false" customHeight="false" outlineLevel="0" collapsed="false">
      <c r="A112" s="0" t="s">
        <v>226</v>
      </c>
      <c r="B112" s="2" t="n">
        <v>46026</v>
      </c>
      <c r="C112" s="3" t="s">
        <v>17</v>
      </c>
      <c r="D112" s="3" t="s">
        <v>88</v>
      </c>
      <c r="E112" s="3" t="s">
        <v>93</v>
      </c>
      <c r="F112" s="0" t="n">
        <v>1</v>
      </c>
      <c r="G112" s="0" t="n">
        <v>799</v>
      </c>
      <c r="H112" s="0" t="n">
        <v>0</v>
      </c>
      <c r="I112" s="3" t="s">
        <v>227</v>
      </c>
      <c r="J112" s="0" t="n">
        <v>3</v>
      </c>
      <c r="K112" s="3" t="s">
        <v>26</v>
      </c>
      <c r="L112" s="0" t="str">
        <f aca="false">VLOOKUP(D112,Products!$A$2:$D$13,2,FALSE())</f>
        <v>Accessories</v>
      </c>
      <c r="M112" s="3" t="n">
        <f aca="false">F112*G112*(1-H112/100)</f>
        <v>799</v>
      </c>
      <c r="N112" s="0" t="str">
        <f aca="false">VLOOKUP(I112,Customers!$A$2:$D$121,3,FALSE())</f>
        <v>Kolkata</v>
      </c>
      <c r="O112" s="0" t="str">
        <f aca="false">VLOOKUP(I112,Customers!$A$2:$D$121,4,FALSE())</f>
        <v>Corporate</v>
      </c>
      <c r="P112" s="0" t="str">
        <f aca="false">TEXT(B112,"yyyy-mm")</f>
        <v>2026-01</v>
      </c>
    </row>
    <row r="113" customFormat="false" ht="15" hidden="false" customHeight="false" outlineLevel="0" collapsed="false">
      <c r="A113" s="0" t="s">
        <v>228</v>
      </c>
      <c r="B113" s="2" t="n">
        <v>45832</v>
      </c>
      <c r="C113" s="3" t="s">
        <v>17</v>
      </c>
      <c r="D113" s="3" t="s">
        <v>45</v>
      </c>
      <c r="E113" s="3" t="s">
        <v>93</v>
      </c>
      <c r="F113" s="0" t="n">
        <v>5</v>
      </c>
      <c r="G113" s="0" t="n">
        <v>30</v>
      </c>
      <c r="H113" s="0" t="n">
        <v>0</v>
      </c>
      <c r="I113" s="3" t="s">
        <v>70</v>
      </c>
      <c r="J113" s="0" t="n">
        <v>5</v>
      </c>
      <c r="K113" s="3" t="s">
        <v>43</v>
      </c>
      <c r="L113" s="0" t="str">
        <f aca="false">VLOOKUP(D113,Products!$A$2:$D$13,2,FALSE())</f>
        <v>Stationery</v>
      </c>
      <c r="M113" s="3" t="n">
        <f aca="false">F113*G113*(1-H113/100)</f>
        <v>150</v>
      </c>
      <c r="N113" s="0" t="str">
        <f aca="false">VLOOKUP(I113,Customers!$A$2:$D$121,3,FALSE())</f>
        <v>Bhopal</v>
      </c>
      <c r="O113" s="0" t="str">
        <f aca="false">VLOOKUP(I113,Customers!$A$2:$D$121,4,FALSE())</f>
        <v>Retail</v>
      </c>
      <c r="P113" s="0" t="str">
        <f aca="false">TEXT(B113,"yyyy-mm")</f>
        <v>2025-06</v>
      </c>
    </row>
    <row r="114" customFormat="false" ht="15" hidden="false" customHeight="false" outlineLevel="0" collapsed="false">
      <c r="A114" s="0" t="s">
        <v>229</v>
      </c>
      <c r="B114" s="2" t="n">
        <v>46100</v>
      </c>
      <c r="C114" s="3" t="s">
        <v>51</v>
      </c>
      <c r="D114" s="3" t="s">
        <v>45</v>
      </c>
      <c r="E114" s="3" t="s">
        <v>83</v>
      </c>
      <c r="F114" s="0" t="n">
        <v>3</v>
      </c>
      <c r="G114" s="0" t="n">
        <v>30</v>
      </c>
      <c r="H114" s="0" t="n">
        <v>0</v>
      </c>
      <c r="I114" s="3" t="s">
        <v>55</v>
      </c>
      <c r="J114" s="0" t="n">
        <v>4</v>
      </c>
      <c r="K114" s="3" t="s">
        <v>43</v>
      </c>
      <c r="L114" s="0" t="str">
        <f aca="false">VLOOKUP(D114,Products!$A$2:$D$13,2,FALSE())</f>
        <v>Stationery</v>
      </c>
      <c r="M114" s="3" t="n">
        <f aca="false">F114*G114*(1-H114/100)</f>
        <v>90</v>
      </c>
      <c r="N114" s="0" t="str">
        <f aca="false">VLOOKUP(I114,Customers!$A$2:$D$121,3,FALSE())</f>
        <v>Jaipur</v>
      </c>
      <c r="O114" s="0" t="str">
        <f aca="false">VLOOKUP(I114,Customers!$A$2:$D$121,4,FALSE())</f>
        <v>Corporate</v>
      </c>
      <c r="P114" s="0" t="str">
        <f aca="false">TEXT(B114,"yyyy-mm")</f>
        <v>2026-03</v>
      </c>
    </row>
    <row r="115" customFormat="false" ht="15" hidden="false" customHeight="false" outlineLevel="0" collapsed="false">
      <c r="A115" s="0" t="s">
        <v>230</v>
      </c>
      <c r="B115" s="2" t="n">
        <v>46054</v>
      </c>
      <c r="C115" s="3" t="s">
        <v>17</v>
      </c>
      <c r="D115" s="3" t="s">
        <v>32</v>
      </c>
      <c r="E115" s="3" t="s">
        <v>93</v>
      </c>
      <c r="F115" s="0" t="n">
        <v>2</v>
      </c>
      <c r="G115" s="0" t="n">
        <v>249</v>
      </c>
      <c r="H115" s="0" t="n">
        <v>0</v>
      </c>
      <c r="I115" s="3" t="s">
        <v>231</v>
      </c>
      <c r="J115" s="0" t="n">
        <v>4</v>
      </c>
      <c r="K115" s="3" t="s">
        <v>34</v>
      </c>
      <c r="L115" s="0" t="str">
        <f aca="false">VLOOKUP(D115,Products!$A$2:$D$13,2,FALSE())</f>
        <v>Accessories</v>
      </c>
      <c r="M115" s="3" t="n">
        <f aca="false">F115*G115*(1-H115/100)</f>
        <v>498</v>
      </c>
      <c r="N115" s="0" t="str">
        <f aca="false">VLOOKUP(I115,Customers!$A$2:$D$121,3,FALSE())</f>
        <v>Pune</v>
      </c>
      <c r="O115" s="0" t="str">
        <f aca="false">VLOOKUP(I115,Customers!$A$2:$D$121,4,FALSE())</f>
        <v>Retail</v>
      </c>
      <c r="P115" s="0" t="str">
        <f aca="false">TEXT(B115,"yyyy-mm")</f>
        <v>2026-02</v>
      </c>
    </row>
    <row r="116" customFormat="false" ht="15" hidden="false" customHeight="false" outlineLevel="0" collapsed="false">
      <c r="A116" s="0" t="s">
        <v>232</v>
      </c>
      <c r="B116" s="2" t="n">
        <v>45865</v>
      </c>
      <c r="C116" s="3" t="s">
        <v>17</v>
      </c>
      <c r="D116" s="3" t="s">
        <v>60</v>
      </c>
      <c r="E116" s="3" t="s">
        <v>19</v>
      </c>
      <c r="F116" s="0" t="n">
        <v>4</v>
      </c>
      <c r="G116" s="0" t="n">
        <v>40</v>
      </c>
      <c r="H116" s="0" t="n">
        <v>15</v>
      </c>
      <c r="I116" s="3" t="s">
        <v>77</v>
      </c>
      <c r="J116" s="0" t="n">
        <v>5</v>
      </c>
      <c r="K116" s="3" t="s">
        <v>34</v>
      </c>
      <c r="L116" s="0" t="str">
        <f aca="false">VLOOKUP(D116,Products!$A$2:$D$13,2,FALSE())</f>
        <v>Stationery</v>
      </c>
      <c r="M116" s="3" t="n">
        <f aca="false">F116*G116*(1-H116/100)</f>
        <v>136</v>
      </c>
      <c r="N116" s="0" t="str">
        <f aca="false">VLOOKUP(I116,Customers!$A$2:$D$121,3,FALSE())</f>
        <v>Chennai</v>
      </c>
      <c r="O116" s="0" t="str">
        <f aca="false">VLOOKUP(I116,Customers!$A$2:$D$121,4,FALSE())</f>
        <v>Student</v>
      </c>
      <c r="P116" s="0" t="str">
        <f aca="false">TEXT(B116,"yyyy-mm")</f>
        <v>2025-07</v>
      </c>
    </row>
    <row r="117" customFormat="false" ht="15" hidden="false" customHeight="false" outlineLevel="0" collapsed="false">
      <c r="A117" s="0" t="s">
        <v>233</v>
      </c>
      <c r="B117" s="2" t="n">
        <v>45837</v>
      </c>
      <c r="C117" s="3" t="s">
        <v>17</v>
      </c>
      <c r="D117" s="3" t="s">
        <v>116</v>
      </c>
      <c r="E117" s="3" t="s">
        <v>93</v>
      </c>
      <c r="F117" s="0" t="n">
        <v>3</v>
      </c>
      <c r="G117" s="0" t="n">
        <v>699</v>
      </c>
      <c r="H117" s="0" t="n">
        <v>5</v>
      </c>
      <c r="I117" s="3" t="s">
        <v>234</v>
      </c>
      <c r="J117" s="0" t="n">
        <v>4</v>
      </c>
      <c r="K117" s="3" t="s">
        <v>26</v>
      </c>
      <c r="L117" s="0" t="str">
        <f aca="false">VLOOKUP(D117,Products!$A$2:$D$13,2,FALSE())</f>
        <v>Home</v>
      </c>
      <c r="M117" s="3" t="n">
        <f aca="false">F117*G117*(1-H117/100)</f>
        <v>1992.15</v>
      </c>
      <c r="N117" s="0" t="str">
        <f aca="false">VLOOKUP(I117,Customers!$A$2:$D$121,3,FALSE())</f>
        <v>Indore</v>
      </c>
      <c r="O117" s="0" t="str">
        <f aca="false">VLOOKUP(I117,Customers!$A$2:$D$121,4,FALSE())</f>
        <v>Retail</v>
      </c>
      <c r="P117" s="0" t="str">
        <f aca="false">TEXT(B117,"yyyy-mm")</f>
        <v>2025-06</v>
      </c>
    </row>
    <row r="118" customFormat="false" ht="15" hidden="false" customHeight="false" outlineLevel="0" collapsed="false">
      <c r="A118" s="0" t="s">
        <v>235</v>
      </c>
      <c r="B118" s="2" t="n">
        <v>46073</v>
      </c>
      <c r="C118" s="3" t="s">
        <v>51</v>
      </c>
      <c r="D118" s="3" t="s">
        <v>116</v>
      </c>
      <c r="E118" s="3" t="s">
        <v>83</v>
      </c>
      <c r="F118" s="0" t="n">
        <v>1</v>
      </c>
      <c r="G118" s="0" t="n">
        <v>699</v>
      </c>
      <c r="H118" s="0" t="n">
        <v>5</v>
      </c>
      <c r="I118" s="3" t="s">
        <v>67</v>
      </c>
      <c r="J118" s="0" t="n">
        <v>4</v>
      </c>
      <c r="K118" s="3" t="s">
        <v>34</v>
      </c>
      <c r="L118" s="0" t="str">
        <f aca="false">VLOOKUP(D118,Products!$A$2:$D$13,2,FALSE())</f>
        <v>Home</v>
      </c>
      <c r="M118" s="3" t="n">
        <f aca="false">F118*G118*(1-H118/100)</f>
        <v>664.05</v>
      </c>
      <c r="N118" s="0" t="str">
        <f aca="false">VLOOKUP(I118,Customers!$A$2:$D$121,3,FALSE())</f>
        <v>Jaipur</v>
      </c>
      <c r="O118" s="0" t="str">
        <f aca="false">VLOOKUP(I118,Customers!$A$2:$D$121,4,FALSE())</f>
        <v>Corporate</v>
      </c>
      <c r="P118" s="0" t="str">
        <f aca="false">TEXT(B118,"yyyy-mm")</f>
        <v>2026-02</v>
      </c>
    </row>
    <row r="119" customFormat="false" ht="15" hidden="false" customHeight="false" outlineLevel="0" collapsed="false">
      <c r="A119" s="0" t="s">
        <v>236</v>
      </c>
      <c r="B119" s="2" t="n">
        <v>45830</v>
      </c>
      <c r="C119" s="3" t="s">
        <v>17</v>
      </c>
      <c r="D119" s="3" t="s">
        <v>41</v>
      </c>
      <c r="E119" s="3" t="s">
        <v>93</v>
      </c>
      <c r="F119" s="0" t="n">
        <v>4</v>
      </c>
      <c r="G119" s="0" t="n">
        <v>399</v>
      </c>
      <c r="H119" s="0" t="n">
        <v>0</v>
      </c>
      <c r="I119" s="3" t="s">
        <v>237</v>
      </c>
      <c r="J119" s="0" t="n">
        <v>4</v>
      </c>
      <c r="K119" s="3" t="s">
        <v>43</v>
      </c>
      <c r="L119" s="0" t="str">
        <f aca="false">VLOOKUP(D119,Products!$A$2:$D$13,2,FALSE())</f>
        <v>Electronics</v>
      </c>
      <c r="M119" s="3" t="n">
        <f aca="false">F119*G119*(1-H119/100)</f>
        <v>1596</v>
      </c>
      <c r="N119" s="0" t="str">
        <f aca="false">VLOOKUP(I119,Customers!$A$2:$D$121,3,FALSE())</f>
        <v>Jaipur</v>
      </c>
      <c r="O119" s="0" t="str">
        <f aca="false">VLOOKUP(I119,Customers!$A$2:$D$121,4,FALSE())</f>
        <v>Retail</v>
      </c>
      <c r="P119" s="0" t="str">
        <f aca="false">TEXT(B119,"yyyy-mm")</f>
        <v>2025-06</v>
      </c>
    </row>
    <row r="120" customFormat="false" ht="15" hidden="false" customHeight="false" outlineLevel="0" collapsed="false">
      <c r="A120" s="0" t="s">
        <v>238</v>
      </c>
      <c r="B120" s="2" t="n">
        <v>45980</v>
      </c>
      <c r="C120" s="3" t="s">
        <v>17</v>
      </c>
      <c r="D120" s="3" t="s">
        <v>57</v>
      </c>
      <c r="E120" s="3" t="s">
        <v>19</v>
      </c>
      <c r="F120" s="0" t="n">
        <v>2</v>
      </c>
      <c r="G120" s="0" t="n">
        <v>549</v>
      </c>
      <c r="H120" s="0" t="n">
        <v>0</v>
      </c>
      <c r="I120" s="3" t="s">
        <v>239</v>
      </c>
      <c r="J120" s="0" t="n">
        <v>3</v>
      </c>
      <c r="K120" s="3" t="s">
        <v>43</v>
      </c>
      <c r="L120" s="0" t="str">
        <f aca="false">VLOOKUP(D120,Products!$A$2:$D$13,2,FALSE())</f>
        <v>Accessories</v>
      </c>
      <c r="M120" s="3" t="n">
        <f aca="false">F120*G120*(1-H120/100)</f>
        <v>1098</v>
      </c>
      <c r="N120" s="0" t="str">
        <f aca="false">VLOOKUP(I120,Customers!$A$2:$D$121,3,FALSE())</f>
        <v>Lucknow</v>
      </c>
      <c r="O120" s="0" t="str">
        <f aca="false">VLOOKUP(I120,Customers!$A$2:$D$121,4,FALSE())</f>
        <v>Retail</v>
      </c>
      <c r="P120" s="0" t="str">
        <f aca="false">TEXT(B120,"yyyy-mm")</f>
        <v>2025-11</v>
      </c>
    </row>
    <row r="121" customFormat="false" ht="15" hidden="false" customHeight="false" outlineLevel="0" collapsed="false">
      <c r="A121" s="0" t="s">
        <v>240</v>
      </c>
      <c r="B121" s="2" t="n">
        <v>46084</v>
      </c>
      <c r="C121" s="3" t="s">
        <v>17</v>
      </c>
      <c r="D121" s="3" t="s">
        <v>57</v>
      </c>
      <c r="E121" s="3" t="s">
        <v>19</v>
      </c>
      <c r="F121" s="0" t="n">
        <v>3</v>
      </c>
      <c r="G121" s="0" t="n">
        <v>549</v>
      </c>
      <c r="H121" s="0" t="n">
        <v>10</v>
      </c>
      <c r="I121" s="3" t="s">
        <v>163</v>
      </c>
      <c r="J121" s="0" t="n">
        <v>4</v>
      </c>
      <c r="K121" s="3" t="s">
        <v>34</v>
      </c>
      <c r="L121" s="0" t="str">
        <f aca="false">VLOOKUP(D121,Products!$A$2:$D$13,2,FALSE())</f>
        <v>Accessories</v>
      </c>
      <c r="M121" s="3" t="n">
        <f aca="false">F121*G121*(1-H121/100)</f>
        <v>1482.3</v>
      </c>
      <c r="N121" s="0" t="str">
        <f aca="false">VLOOKUP(I121,Customers!$A$2:$D$121,3,FALSE())</f>
        <v>Kolkata</v>
      </c>
      <c r="O121" s="0" t="str">
        <f aca="false">VLOOKUP(I121,Customers!$A$2:$D$121,4,FALSE())</f>
        <v>Student</v>
      </c>
      <c r="P121" s="0" t="str">
        <f aca="false">TEXT(B121,"yyyy-mm")</f>
        <v>2026-03</v>
      </c>
    </row>
    <row r="122" customFormat="false" ht="15" hidden="false" customHeight="false" outlineLevel="0" collapsed="false">
      <c r="A122" s="0" t="s">
        <v>241</v>
      </c>
      <c r="B122" s="2" t="n">
        <v>46068</v>
      </c>
      <c r="C122" s="3" t="s">
        <v>51</v>
      </c>
      <c r="D122" s="3" t="s">
        <v>116</v>
      </c>
      <c r="E122" s="3" t="s">
        <v>83</v>
      </c>
      <c r="F122" s="0" t="n">
        <v>4</v>
      </c>
      <c r="G122" s="0" t="n">
        <v>699</v>
      </c>
      <c r="H122" s="0" t="n">
        <v>5</v>
      </c>
      <c r="I122" s="3" t="s">
        <v>33</v>
      </c>
      <c r="J122" s="0" t="n">
        <v>2</v>
      </c>
      <c r="K122" s="3" t="s">
        <v>26</v>
      </c>
      <c r="L122" s="0" t="str">
        <f aca="false">VLOOKUP(D122,Products!$A$2:$D$13,2,FALSE())</f>
        <v>Home</v>
      </c>
      <c r="M122" s="3" t="n">
        <f aca="false">F122*G122*(1-H122/100)</f>
        <v>2656.2</v>
      </c>
      <c r="N122" s="0" t="str">
        <f aca="false">VLOOKUP(I122,Customers!$A$2:$D$121,3,FALSE())</f>
        <v>Indore</v>
      </c>
      <c r="O122" s="0" t="str">
        <f aca="false">VLOOKUP(I122,Customers!$A$2:$D$121,4,FALSE())</f>
        <v>Corporate</v>
      </c>
      <c r="P122" s="0" t="str">
        <f aca="false">TEXT(B122,"yyyy-mm")</f>
        <v>2026-02</v>
      </c>
    </row>
    <row r="123" customFormat="false" ht="15" hidden="false" customHeight="false" outlineLevel="0" collapsed="false">
      <c r="A123" s="0" t="s">
        <v>242</v>
      </c>
      <c r="B123" s="2" t="n">
        <v>46105</v>
      </c>
      <c r="C123" s="3" t="s">
        <v>51</v>
      </c>
      <c r="D123" s="3" t="s">
        <v>37</v>
      </c>
      <c r="E123" s="3" t="s">
        <v>52</v>
      </c>
      <c r="F123" s="0" t="n">
        <v>1</v>
      </c>
      <c r="G123" s="0" t="n">
        <v>500</v>
      </c>
      <c r="H123" s="0" t="n">
        <v>5</v>
      </c>
      <c r="I123" s="3" t="s">
        <v>243</v>
      </c>
      <c r="J123" s="0" t="n">
        <v>1</v>
      </c>
      <c r="K123" s="3" t="s">
        <v>26</v>
      </c>
      <c r="L123" s="0" t="str">
        <f aca="false">VLOOKUP(D123,Products!$A$2:$D$13,2,FALSE())</f>
        <v>Electronics</v>
      </c>
      <c r="M123" s="3" t="n">
        <f aca="false">F123*G123*(1-H123/100)</f>
        <v>475</v>
      </c>
      <c r="N123" s="0" t="str">
        <f aca="false">VLOOKUP(I123,Customers!$A$2:$D$121,3,FALSE())</f>
        <v>Jaipur</v>
      </c>
      <c r="O123" s="0" t="str">
        <f aca="false">VLOOKUP(I123,Customers!$A$2:$D$121,4,FALSE())</f>
        <v>Corporate</v>
      </c>
      <c r="P123" s="0" t="str">
        <f aca="false">TEXT(B123,"yyyy-mm")</f>
        <v>2026-03</v>
      </c>
    </row>
    <row r="124" customFormat="false" ht="15" hidden="false" customHeight="false" outlineLevel="0" collapsed="false">
      <c r="A124" s="0" t="s">
        <v>244</v>
      </c>
      <c r="B124" s="2" t="n">
        <v>45755</v>
      </c>
      <c r="C124" s="3" t="s">
        <v>23</v>
      </c>
      <c r="D124" s="3" t="s">
        <v>37</v>
      </c>
      <c r="E124" s="3" t="s">
        <v>24</v>
      </c>
      <c r="F124" s="0" t="n">
        <v>1</v>
      </c>
      <c r="G124" s="0" t="n">
        <v>500</v>
      </c>
      <c r="H124" s="0" t="n">
        <v>10</v>
      </c>
      <c r="I124" s="3" t="s">
        <v>237</v>
      </c>
      <c r="J124" s="0" t="n">
        <v>2</v>
      </c>
      <c r="K124" s="3" t="s">
        <v>43</v>
      </c>
      <c r="L124" s="0" t="str">
        <f aca="false">VLOOKUP(D124,Products!$A$2:$D$13,2,FALSE())</f>
        <v>Electronics</v>
      </c>
      <c r="M124" s="3" t="n">
        <f aca="false">F124*G124*(1-H124/100)</f>
        <v>450</v>
      </c>
      <c r="N124" s="0" t="str">
        <f aca="false">VLOOKUP(I124,Customers!$A$2:$D$121,3,FALSE())</f>
        <v>Jaipur</v>
      </c>
      <c r="O124" s="0" t="str">
        <f aca="false">VLOOKUP(I124,Customers!$A$2:$D$121,4,FALSE())</f>
        <v>Retail</v>
      </c>
      <c r="P124" s="0" t="str">
        <f aca="false">TEXT(B124,"yyyy-mm")</f>
        <v>2025-04</v>
      </c>
    </row>
    <row r="125" customFormat="false" ht="15" hidden="false" customHeight="false" outlineLevel="0" collapsed="false">
      <c r="A125" s="0" t="s">
        <v>245</v>
      </c>
      <c r="B125" s="2" t="n">
        <v>46003</v>
      </c>
      <c r="C125" s="3" t="s">
        <v>36</v>
      </c>
      <c r="D125" s="3" t="s">
        <v>45</v>
      </c>
      <c r="E125" s="3" t="s">
        <v>69</v>
      </c>
      <c r="F125" s="0" t="n">
        <v>1</v>
      </c>
      <c r="G125" s="0" t="n">
        <v>30</v>
      </c>
      <c r="H125" s="0" t="n">
        <v>15</v>
      </c>
      <c r="I125" s="3" t="s">
        <v>246</v>
      </c>
      <c r="J125" s="0" t="n">
        <v>4</v>
      </c>
      <c r="K125" s="3" t="s">
        <v>43</v>
      </c>
      <c r="L125" s="0" t="str">
        <f aca="false">VLOOKUP(D125,Products!$A$2:$D$13,2,FALSE())</f>
        <v>Stationery</v>
      </c>
      <c r="M125" s="3" t="n">
        <f aca="false">F125*G125*(1-H125/100)</f>
        <v>25.5</v>
      </c>
      <c r="N125" s="0" t="str">
        <f aca="false">VLOOKUP(I125,Customers!$A$2:$D$121,3,FALSE())</f>
        <v>Pune</v>
      </c>
      <c r="O125" s="0" t="str">
        <f aca="false">VLOOKUP(I125,Customers!$A$2:$D$121,4,FALSE())</f>
        <v>Student</v>
      </c>
      <c r="P125" s="0" t="str">
        <f aca="false">TEXT(B125,"yyyy-mm")</f>
        <v>2025-12</v>
      </c>
    </row>
    <row r="126" customFormat="false" ht="15" hidden="false" customHeight="false" outlineLevel="0" collapsed="false">
      <c r="A126" s="0" t="s">
        <v>247</v>
      </c>
      <c r="B126" s="2" t="n">
        <v>45872</v>
      </c>
      <c r="C126" s="3" t="s">
        <v>51</v>
      </c>
      <c r="D126" s="3" t="s">
        <v>32</v>
      </c>
      <c r="E126" s="3" t="s">
        <v>52</v>
      </c>
      <c r="F126" s="0" t="n">
        <v>1</v>
      </c>
      <c r="G126" s="0" t="n">
        <v>249</v>
      </c>
      <c r="H126" s="0" t="n">
        <v>5</v>
      </c>
      <c r="I126" s="3" t="s">
        <v>205</v>
      </c>
      <c r="J126" s="0" t="n">
        <v>3</v>
      </c>
      <c r="K126" s="3" t="s">
        <v>26</v>
      </c>
      <c r="L126" s="0" t="str">
        <f aca="false">VLOOKUP(D126,Products!$A$2:$D$13,2,FALSE())</f>
        <v>Accessories</v>
      </c>
      <c r="M126" s="3" t="n">
        <f aca="false">F126*G126*(1-H126/100)</f>
        <v>236.55</v>
      </c>
      <c r="N126" s="0" t="str">
        <f aca="false">VLOOKUP(I126,Customers!$A$2:$D$121,3,FALSE())</f>
        <v>Jaipur</v>
      </c>
      <c r="O126" s="0" t="str">
        <f aca="false">VLOOKUP(I126,Customers!$A$2:$D$121,4,FALSE())</f>
        <v>Student</v>
      </c>
      <c r="P126" s="0" t="str">
        <f aca="false">TEXT(B126,"yyyy-mm")</f>
        <v>2025-08</v>
      </c>
    </row>
    <row r="127" customFormat="false" ht="15" hidden="false" customHeight="false" outlineLevel="0" collapsed="false">
      <c r="A127" s="0" t="s">
        <v>248</v>
      </c>
      <c r="B127" s="2" t="n">
        <v>45960</v>
      </c>
      <c r="C127" s="3" t="s">
        <v>72</v>
      </c>
      <c r="D127" s="3" t="s">
        <v>45</v>
      </c>
      <c r="E127" s="3" t="s">
        <v>73</v>
      </c>
      <c r="F127" s="0" t="n">
        <v>3</v>
      </c>
      <c r="G127" s="0" t="n">
        <v>30</v>
      </c>
      <c r="H127" s="0" t="n">
        <v>0</v>
      </c>
      <c r="I127" s="3" t="s">
        <v>249</v>
      </c>
      <c r="J127" s="0" t="n">
        <v>5</v>
      </c>
      <c r="K127" s="3" t="s">
        <v>21</v>
      </c>
      <c r="L127" s="0" t="str">
        <f aca="false">VLOOKUP(D127,Products!$A$2:$D$13,2,FALSE())</f>
        <v>Stationery</v>
      </c>
      <c r="M127" s="3" t="n">
        <f aca="false">F127*G127*(1-H127/100)</f>
        <v>90</v>
      </c>
      <c r="N127" s="0" t="str">
        <f aca="false">VLOOKUP(I127,Customers!$A$2:$D$121,3,FALSE())</f>
        <v>Jaipur</v>
      </c>
      <c r="O127" s="0" t="str">
        <f aca="false">VLOOKUP(I127,Customers!$A$2:$D$121,4,FALSE())</f>
        <v>Retail</v>
      </c>
      <c r="P127" s="0" t="str">
        <f aca="false">TEXT(B127,"yyyy-mm")</f>
        <v>2025-10</v>
      </c>
    </row>
    <row r="128" customFormat="false" ht="15" hidden="false" customHeight="false" outlineLevel="0" collapsed="false">
      <c r="A128" s="0" t="s">
        <v>250</v>
      </c>
      <c r="B128" s="2" t="n">
        <v>46048</v>
      </c>
      <c r="C128" s="3" t="s">
        <v>72</v>
      </c>
      <c r="D128" s="3" t="s">
        <v>37</v>
      </c>
      <c r="E128" s="3" t="s">
        <v>89</v>
      </c>
      <c r="F128" s="0" t="n">
        <v>4</v>
      </c>
      <c r="G128" s="0" t="n">
        <v>500</v>
      </c>
      <c r="H128" s="0" t="n">
        <v>10</v>
      </c>
      <c r="I128" s="3" t="s">
        <v>251</v>
      </c>
      <c r="J128" s="0" t="n">
        <v>4</v>
      </c>
      <c r="K128" s="3" t="s">
        <v>43</v>
      </c>
      <c r="L128" s="0" t="str">
        <f aca="false">VLOOKUP(D128,Products!$A$2:$D$13,2,FALSE())</f>
        <v>Electronics</v>
      </c>
      <c r="M128" s="3" t="n">
        <f aca="false">F128*G128*(1-H128/100)</f>
        <v>1800</v>
      </c>
      <c r="N128" s="0" t="str">
        <f aca="false">VLOOKUP(I128,Customers!$A$2:$D$121,3,FALSE())</f>
        <v>Indore</v>
      </c>
      <c r="O128" s="0" t="str">
        <f aca="false">VLOOKUP(I128,Customers!$A$2:$D$121,4,FALSE())</f>
        <v>Student</v>
      </c>
      <c r="P128" s="0" t="str">
        <f aca="false">TEXT(B128,"yyyy-mm")</f>
        <v>2026-01</v>
      </c>
    </row>
    <row r="129" customFormat="false" ht="15" hidden="false" customHeight="false" outlineLevel="0" collapsed="false">
      <c r="A129" s="0" t="s">
        <v>252</v>
      </c>
      <c r="B129" s="2" t="n">
        <v>45924</v>
      </c>
      <c r="C129" s="3" t="s">
        <v>51</v>
      </c>
      <c r="D129" s="3" t="s">
        <v>57</v>
      </c>
      <c r="E129" s="3" t="s">
        <v>83</v>
      </c>
      <c r="F129" s="0" t="n">
        <v>1</v>
      </c>
      <c r="G129" s="0" t="n">
        <v>549</v>
      </c>
      <c r="H129" s="0" t="n">
        <v>0</v>
      </c>
      <c r="I129" s="3" t="s">
        <v>205</v>
      </c>
      <c r="J129" s="0" t="n">
        <v>5</v>
      </c>
      <c r="K129" s="3" t="s">
        <v>43</v>
      </c>
      <c r="L129" s="0" t="str">
        <f aca="false">VLOOKUP(D129,Products!$A$2:$D$13,2,FALSE())</f>
        <v>Accessories</v>
      </c>
      <c r="M129" s="3" t="n">
        <f aca="false">F129*G129*(1-H129/100)</f>
        <v>549</v>
      </c>
      <c r="N129" s="0" t="str">
        <f aca="false">VLOOKUP(I129,Customers!$A$2:$D$121,3,FALSE())</f>
        <v>Jaipur</v>
      </c>
      <c r="O129" s="0" t="str">
        <f aca="false">VLOOKUP(I129,Customers!$A$2:$D$121,4,FALSE())</f>
        <v>Student</v>
      </c>
      <c r="P129" s="0" t="str">
        <f aca="false">TEXT(B129,"yyyy-mm")</f>
        <v>2025-09</v>
      </c>
    </row>
    <row r="130" customFormat="false" ht="15" hidden="false" customHeight="false" outlineLevel="0" collapsed="false">
      <c r="A130" s="0" t="s">
        <v>253</v>
      </c>
      <c r="B130" s="2" t="n">
        <v>46105</v>
      </c>
      <c r="C130" s="3" t="s">
        <v>36</v>
      </c>
      <c r="D130" s="3" t="s">
        <v>41</v>
      </c>
      <c r="E130" s="3" t="s">
        <v>69</v>
      </c>
      <c r="F130" s="0" t="n">
        <v>2</v>
      </c>
      <c r="G130" s="0" t="n">
        <v>399</v>
      </c>
      <c r="H130" s="0" t="n">
        <v>0</v>
      </c>
      <c r="I130" s="3" t="s">
        <v>254</v>
      </c>
      <c r="J130" s="0" t="n">
        <v>4</v>
      </c>
      <c r="K130" s="3" t="s">
        <v>21</v>
      </c>
      <c r="L130" s="0" t="str">
        <f aca="false">VLOOKUP(D130,Products!$A$2:$D$13,2,FALSE())</f>
        <v>Electronics</v>
      </c>
      <c r="M130" s="3" t="n">
        <f aca="false">F130*G130*(1-H130/100)</f>
        <v>798</v>
      </c>
      <c r="N130" s="0" t="str">
        <f aca="false">VLOOKUP(I130,Customers!$A$2:$D$121,3,FALSE())</f>
        <v>Pune</v>
      </c>
      <c r="O130" s="0" t="str">
        <f aca="false">VLOOKUP(I130,Customers!$A$2:$D$121,4,FALSE())</f>
        <v>Student</v>
      </c>
      <c r="P130" s="0" t="str">
        <f aca="false">TEXT(B130,"yyyy-mm")</f>
        <v>2026-03</v>
      </c>
    </row>
    <row r="131" customFormat="false" ht="15" hidden="false" customHeight="false" outlineLevel="0" collapsed="false">
      <c r="A131" s="0" t="s">
        <v>255</v>
      </c>
      <c r="B131" s="2" t="n">
        <v>46005</v>
      </c>
      <c r="C131" s="3" t="s">
        <v>36</v>
      </c>
      <c r="D131" s="3" t="s">
        <v>60</v>
      </c>
      <c r="E131" s="3" t="s">
        <v>69</v>
      </c>
      <c r="F131" s="0" t="n">
        <v>1</v>
      </c>
      <c r="G131" s="0" t="n">
        <v>40</v>
      </c>
      <c r="H131" s="0" t="n">
        <v>10</v>
      </c>
      <c r="I131" s="3" t="s">
        <v>256</v>
      </c>
      <c r="J131" s="0" t="n">
        <v>5</v>
      </c>
      <c r="K131" s="3" t="s">
        <v>21</v>
      </c>
      <c r="L131" s="0" t="str">
        <f aca="false">VLOOKUP(D131,Products!$A$2:$D$13,2,FALSE())</f>
        <v>Stationery</v>
      </c>
      <c r="M131" s="3" t="n">
        <f aca="false">F131*G131*(1-H131/100)</f>
        <v>36</v>
      </c>
      <c r="N131" s="0" t="str">
        <f aca="false">VLOOKUP(I131,Customers!$A$2:$D$121,3,FALSE())</f>
        <v>Lucknow</v>
      </c>
      <c r="O131" s="0" t="str">
        <f aca="false">VLOOKUP(I131,Customers!$A$2:$D$121,4,FALSE())</f>
        <v>Corporate</v>
      </c>
      <c r="P131" s="0" t="str">
        <f aca="false">TEXT(B131,"yyyy-mm")</f>
        <v>2025-12</v>
      </c>
    </row>
    <row r="132" customFormat="false" ht="15" hidden="false" customHeight="false" outlineLevel="0" collapsed="false">
      <c r="A132" s="0" t="s">
        <v>257</v>
      </c>
      <c r="B132" s="2" t="n">
        <v>45755</v>
      </c>
      <c r="C132" s="3" t="s">
        <v>51</v>
      </c>
      <c r="D132" s="3" t="s">
        <v>57</v>
      </c>
      <c r="E132" s="3" t="s">
        <v>52</v>
      </c>
      <c r="F132" s="0" t="n">
        <v>1</v>
      </c>
      <c r="G132" s="0" t="n">
        <v>549</v>
      </c>
      <c r="H132" s="0" t="n">
        <v>15</v>
      </c>
      <c r="I132" s="3" t="s">
        <v>258</v>
      </c>
      <c r="J132" s="0" t="n">
        <v>4</v>
      </c>
      <c r="K132" s="3" t="s">
        <v>21</v>
      </c>
      <c r="L132" s="0" t="str">
        <f aca="false">VLOOKUP(D132,Products!$A$2:$D$13,2,FALSE())</f>
        <v>Accessories</v>
      </c>
      <c r="M132" s="3" t="n">
        <f aca="false">F132*G132*(1-H132/100)</f>
        <v>466.65</v>
      </c>
      <c r="N132" s="0" t="str">
        <f aca="false">VLOOKUP(I132,Customers!$A$2:$D$121,3,FALSE())</f>
        <v>Kolkata</v>
      </c>
      <c r="O132" s="0" t="str">
        <f aca="false">VLOOKUP(I132,Customers!$A$2:$D$121,4,FALSE())</f>
        <v>Student</v>
      </c>
      <c r="P132" s="0" t="str">
        <f aca="false">TEXT(B132,"yyyy-mm")</f>
        <v>2025-04</v>
      </c>
    </row>
    <row r="133" customFormat="false" ht="15" hidden="false" customHeight="false" outlineLevel="0" collapsed="false">
      <c r="A133" s="0" t="s">
        <v>259</v>
      </c>
      <c r="B133" s="2" t="n">
        <v>45921</v>
      </c>
      <c r="C133" s="3" t="s">
        <v>72</v>
      </c>
      <c r="D133" s="3" t="s">
        <v>32</v>
      </c>
      <c r="E133" s="3" t="s">
        <v>89</v>
      </c>
      <c r="F133" s="0" t="n">
        <v>1</v>
      </c>
      <c r="G133" s="0" t="n">
        <v>249</v>
      </c>
      <c r="H133" s="0" t="n">
        <v>10</v>
      </c>
      <c r="I133" s="3" t="s">
        <v>161</v>
      </c>
      <c r="J133" s="0" t="n">
        <v>4</v>
      </c>
      <c r="K133" s="3" t="s">
        <v>34</v>
      </c>
      <c r="L133" s="0" t="str">
        <f aca="false">VLOOKUP(D133,Products!$A$2:$D$13,2,FALSE())</f>
        <v>Accessories</v>
      </c>
      <c r="M133" s="3" t="n">
        <f aca="false">F133*G133*(1-H133/100)</f>
        <v>224.1</v>
      </c>
      <c r="N133" s="0" t="str">
        <f aca="false">VLOOKUP(I133,Customers!$A$2:$D$121,3,FALSE())</f>
        <v>Lucknow</v>
      </c>
      <c r="O133" s="0" t="str">
        <f aca="false">VLOOKUP(I133,Customers!$A$2:$D$121,4,FALSE())</f>
        <v>Corporate</v>
      </c>
      <c r="P133" s="0" t="str">
        <f aca="false">TEXT(B133,"yyyy-mm")</f>
        <v>2025-09</v>
      </c>
    </row>
    <row r="134" customFormat="false" ht="15" hidden="false" customHeight="false" outlineLevel="0" collapsed="false">
      <c r="A134" s="0" t="s">
        <v>260</v>
      </c>
      <c r="B134" s="2" t="n">
        <v>45942</v>
      </c>
      <c r="C134" s="3" t="s">
        <v>23</v>
      </c>
      <c r="D134" s="3" t="s">
        <v>18</v>
      </c>
      <c r="E134" s="3" t="s">
        <v>29</v>
      </c>
      <c r="F134" s="0" t="n">
        <v>5</v>
      </c>
      <c r="G134" s="0" t="n">
        <v>349</v>
      </c>
      <c r="H134" s="0" t="n">
        <v>0</v>
      </c>
      <c r="I134" s="3" t="s">
        <v>261</v>
      </c>
      <c r="J134" s="0" t="n">
        <v>4</v>
      </c>
      <c r="K134" s="3" t="s">
        <v>21</v>
      </c>
      <c r="L134" s="0" t="str">
        <f aca="false">VLOOKUP(D134,Products!$A$2:$D$13,2,FALSE())</f>
        <v>Home</v>
      </c>
      <c r="M134" s="3" t="n">
        <f aca="false">F134*G134*(1-H134/100)</f>
        <v>1745</v>
      </c>
      <c r="N134" s="0" t="str">
        <f aca="false">VLOOKUP(I134,Customers!$A$2:$D$121,3,FALSE())</f>
        <v>Mumbai</v>
      </c>
      <c r="O134" s="0" t="str">
        <f aca="false">VLOOKUP(I134,Customers!$A$2:$D$121,4,FALSE())</f>
        <v>Corporate</v>
      </c>
      <c r="P134" s="0" t="str">
        <f aca="false">TEXT(B134,"yyyy-mm")</f>
        <v>2025-10</v>
      </c>
    </row>
    <row r="135" customFormat="false" ht="15" hidden="false" customHeight="false" outlineLevel="0" collapsed="false">
      <c r="A135" s="0" t="s">
        <v>262</v>
      </c>
      <c r="B135" s="2" t="n">
        <v>45868</v>
      </c>
      <c r="C135" s="3" t="s">
        <v>17</v>
      </c>
      <c r="D135" s="3" t="s">
        <v>116</v>
      </c>
      <c r="E135" s="3" t="s">
        <v>19</v>
      </c>
      <c r="F135" s="0" t="n">
        <v>1</v>
      </c>
      <c r="G135" s="0" t="n">
        <v>699</v>
      </c>
      <c r="H135" s="0" t="n">
        <v>15</v>
      </c>
      <c r="I135" s="3" t="s">
        <v>74</v>
      </c>
      <c r="J135" s="0" t="n">
        <v>5</v>
      </c>
      <c r="K135" s="3" t="s">
        <v>21</v>
      </c>
      <c r="L135" s="0" t="str">
        <f aca="false">VLOOKUP(D135,Products!$A$2:$D$13,2,FALSE())</f>
        <v>Home</v>
      </c>
      <c r="M135" s="3" t="n">
        <f aca="false">F135*G135*(1-H135/100)</f>
        <v>594.15</v>
      </c>
      <c r="N135" s="0" t="str">
        <f aca="false">VLOOKUP(I135,Customers!$A$2:$D$121,3,FALSE())</f>
        <v>Lucknow</v>
      </c>
      <c r="O135" s="0" t="str">
        <f aca="false">VLOOKUP(I135,Customers!$A$2:$D$121,4,FALSE())</f>
        <v>Retail</v>
      </c>
      <c r="P135" s="0" t="str">
        <f aca="false">TEXT(B135,"yyyy-mm")</f>
        <v>2025-07</v>
      </c>
    </row>
    <row r="136" customFormat="false" ht="15" hidden="false" customHeight="false" outlineLevel="0" collapsed="false">
      <c r="A136" s="0" t="s">
        <v>263</v>
      </c>
      <c r="B136" s="2" t="n">
        <v>46072</v>
      </c>
      <c r="C136" s="3" t="s">
        <v>17</v>
      </c>
      <c r="D136" s="3" t="s">
        <v>88</v>
      </c>
      <c r="E136" s="3" t="s">
        <v>19</v>
      </c>
      <c r="F136" s="0" t="n">
        <v>2</v>
      </c>
      <c r="G136" s="0" t="n">
        <v>799</v>
      </c>
      <c r="H136" s="0" t="n">
        <v>15</v>
      </c>
      <c r="I136" s="3" t="s">
        <v>264</v>
      </c>
      <c r="J136" s="0" t="n">
        <v>2</v>
      </c>
      <c r="K136" s="3" t="s">
        <v>34</v>
      </c>
      <c r="L136" s="0" t="str">
        <f aca="false">VLOOKUP(D136,Products!$A$2:$D$13,2,FALSE())</f>
        <v>Accessories</v>
      </c>
      <c r="M136" s="3" t="n">
        <f aca="false">F136*G136*(1-H136/100)</f>
        <v>1358.3</v>
      </c>
      <c r="N136" s="0" t="str">
        <f aca="false">VLOOKUP(I136,Customers!$A$2:$D$121,3,FALSE())</f>
        <v>Kolkata</v>
      </c>
      <c r="O136" s="0" t="str">
        <f aca="false">VLOOKUP(I136,Customers!$A$2:$D$121,4,FALSE())</f>
        <v>Student</v>
      </c>
      <c r="P136" s="0" t="str">
        <f aca="false">TEXT(B136,"yyyy-mm")</f>
        <v>2026-02</v>
      </c>
    </row>
    <row r="137" customFormat="false" ht="15" hidden="false" customHeight="false" outlineLevel="0" collapsed="false">
      <c r="A137" s="0" t="s">
        <v>265</v>
      </c>
      <c r="B137" s="2" t="n">
        <v>45914</v>
      </c>
      <c r="C137" s="3" t="s">
        <v>17</v>
      </c>
      <c r="D137" s="3" t="s">
        <v>60</v>
      </c>
      <c r="E137" s="3" t="s">
        <v>93</v>
      </c>
      <c r="F137" s="0" t="n">
        <v>3</v>
      </c>
      <c r="G137" s="0" t="n">
        <v>40</v>
      </c>
      <c r="H137" s="0" t="n">
        <v>0</v>
      </c>
      <c r="I137" s="3" t="s">
        <v>246</v>
      </c>
      <c r="J137" s="0" t="n">
        <v>4</v>
      </c>
      <c r="K137" s="3" t="s">
        <v>26</v>
      </c>
      <c r="L137" s="0" t="str">
        <f aca="false">VLOOKUP(D137,Products!$A$2:$D$13,2,FALSE())</f>
        <v>Stationery</v>
      </c>
      <c r="M137" s="3" t="n">
        <f aca="false">F137*G137*(1-H137/100)</f>
        <v>120</v>
      </c>
      <c r="N137" s="0" t="str">
        <f aca="false">VLOOKUP(I137,Customers!$A$2:$D$121,3,FALSE())</f>
        <v>Pune</v>
      </c>
      <c r="O137" s="0" t="str">
        <f aca="false">VLOOKUP(I137,Customers!$A$2:$D$121,4,FALSE())</f>
        <v>Student</v>
      </c>
      <c r="P137" s="0" t="str">
        <f aca="false">TEXT(B137,"yyyy-mm")</f>
        <v>2025-09</v>
      </c>
    </row>
    <row r="138" customFormat="false" ht="15" hidden="false" customHeight="false" outlineLevel="0" collapsed="false">
      <c r="A138" s="0" t="s">
        <v>266</v>
      </c>
      <c r="B138" s="2" t="n">
        <v>45958</v>
      </c>
      <c r="C138" s="3" t="s">
        <v>23</v>
      </c>
      <c r="D138" s="3" t="s">
        <v>28</v>
      </c>
      <c r="E138" s="3" t="s">
        <v>24</v>
      </c>
      <c r="F138" s="0" t="n">
        <v>1</v>
      </c>
      <c r="G138" s="0" t="n">
        <v>450</v>
      </c>
      <c r="H138" s="0" t="n">
        <v>10</v>
      </c>
      <c r="I138" s="3" t="s">
        <v>74</v>
      </c>
      <c r="J138" s="0" t="n">
        <v>5</v>
      </c>
      <c r="K138" s="3" t="s">
        <v>26</v>
      </c>
      <c r="L138" s="0" t="str">
        <f aca="false">VLOOKUP(D138,Products!$A$2:$D$13,2,FALSE())</f>
        <v>Electronics</v>
      </c>
      <c r="M138" s="3" t="n">
        <f aca="false">F138*G138*(1-H138/100)</f>
        <v>405</v>
      </c>
      <c r="N138" s="0" t="str">
        <f aca="false">VLOOKUP(I138,Customers!$A$2:$D$121,3,FALSE())</f>
        <v>Lucknow</v>
      </c>
      <c r="O138" s="0" t="str">
        <f aca="false">VLOOKUP(I138,Customers!$A$2:$D$121,4,FALSE())</f>
        <v>Retail</v>
      </c>
      <c r="P138" s="0" t="str">
        <f aca="false">TEXT(B138,"yyyy-mm")</f>
        <v>2025-10</v>
      </c>
    </row>
    <row r="139" customFormat="false" ht="15" hidden="false" customHeight="false" outlineLevel="0" collapsed="false">
      <c r="A139" s="0" t="s">
        <v>267</v>
      </c>
      <c r="B139" s="2" t="n">
        <v>45943</v>
      </c>
      <c r="C139" s="3" t="s">
        <v>23</v>
      </c>
      <c r="D139" s="3" t="s">
        <v>45</v>
      </c>
      <c r="E139" s="3" t="s">
        <v>24</v>
      </c>
      <c r="F139" s="0" t="n">
        <v>6</v>
      </c>
      <c r="G139" s="0" t="n">
        <v>30</v>
      </c>
      <c r="H139" s="0" t="n">
        <v>10</v>
      </c>
      <c r="I139" s="3" t="s">
        <v>74</v>
      </c>
      <c r="J139" s="0" t="n">
        <v>3</v>
      </c>
      <c r="K139" s="3" t="s">
        <v>26</v>
      </c>
      <c r="L139" s="0" t="str">
        <f aca="false">VLOOKUP(D139,Products!$A$2:$D$13,2,FALSE())</f>
        <v>Stationery</v>
      </c>
      <c r="M139" s="3" t="n">
        <f aca="false">F139*G139*(1-H139/100)</f>
        <v>162</v>
      </c>
      <c r="N139" s="0" t="str">
        <f aca="false">VLOOKUP(I139,Customers!$A$2:$D$121,3,FALSE())</f>
        <v>Lucknow</v>
      </c>
      <c r="O139" s="0" t="str">
        <f aca="false">VLOOKUP(I139,Customers!$A$2:$D$121,4,FALSE())</f>
        <v>Retail</v>
      </c>
      <c r="P139" s="0" t="str">
        <f aca="false">TEXT(B139,"yyyy-mm")</f>
        <v>2025-10</v>
      </c>
    </row>
    <row r="140" customFormat="false" ht="15" hidden="false" customHeight="false" outlineLevel="0" collapsed="false">
      <c r="A140" s="0" t="s">
        <v>268</v>
      </c>
      <c r="B140" s="2" t="n">
        <v>45983</v>
      </c>
      <c r="C140" s="3" t="s">
        <v>72</v>
      </c>
      <c r="D140" s="3" t="s">
        <v>32</v>
      </c>
      <c r="E140" s="3" t="s">
        <v>73</v>
      </c>
      <c r="F140" s="0" t="n">
        <v>6</v>
      </c>
      <c r="G140" s="0" t="n">
        <v>249</v>
      </c>
      <c r="H140" s="0" t="n">
        <v>0</v>
      </c>
      <c r="I140" s="3" t="s">
        <v>269</v>
      </c>
      <c r="J140" s="0" t="n">
        <v>1</v>
      </c>
      <c r="K140" s="3" t="s">
        <v>34</v>
      </c>
      <c r="L140" s="0" t="str">
        <f aca="false">VLOOKUP(D140,Products!$A$2:$D$13,2,FALSE())</f>
        <v>Accessories</v>
      </c>
      <c r="M140" s="3" t="n">
        <f aca="false">F140*G140*(1-H140/100)</f>
        <v>1494</v>
      </c>
      <c r="N140" s="0" t="str">
        <f aca="false">VLOOKUP(I140,Customers!$A$2:$D$121,3,FALSE())</f>
        <v>Mumbai</v>
      </c>
      <c r="O140" s="0" t="str">
        <f aca="false">VLOOKUP(I140,Customers!$A$2:$D$121,4,FALSE())</f>
        <v>Student</v>
      </c>
      <c r="P140" s="0" t="str">
        <f aca="false">TEXT(B140,"yyyy-mm")</f>
        <v>2025-11</v>
      </c>
    </row>
    <row r="141" customFormat="false" ht="15" hidden="false" customHeight="false" outlineLevel="0" collapsed="false">
      <c r="A141" s="0" t="s">
        <v>270</v>
      </c>
      <c r="B141" s="2" t="n">
        <v>45828</v>
      </c>
      <c r="C141" s="3" t="s">
        <v>23</v>
      </c>
      <c r="D141" s="3" t="s">
        <v>18</v>
      </c>
      <c r="E141" s="3" t="s">
        <v>29</v>
      </c>
      <c r="F141" s="0" t="n">
        <v>1</v>
      </c>
      <c r="G141" s="0" t="n">
        <v>349</v>
      </c>
      <c r="H141" s="0" t="n">
        <v>0</v>
      </c>
      <c r="I141" s="3" t="s">
        <v>271</v>
      </c>
      <c r="J141" s="0" t="n">
        <v>5</v>
      </c>
      <c r="K141" s="3" t="s">
        <v>43</v>
      </c>
      <c r="L141" s="0" t="str">
        <f aca="false">VLOOKUP(D141,Products!$A$2:$D$13,2,FALSE())</f>
        <v>Home</v>
      </c>
      <c r="M141" s="3" t="n">
        <f aca="false">F141*G141*(1-H141/100)</f>
        <v>349</v>
      </c>
      <c r="N141" s="0" t="str">
        <f aca="false">VLOOKUP(I141,Customers!$A$2:$D$121,3,FALSE())</f>
        <v>Jaipur</v>
      </c>
      <c r="O141" s="0" t="str">
        <f aca="false">VLOOKUP(I141,Customers!$A$2:$D$121,4,FALSE())</f>
        <v>Retail</v>
      </c>
      <c r="P141" s="0" t="str">
        <f aca="false">TEXT(B141,"yyyy-mm")</f>
        <v>2025-06</v>
      </c>
    </row>
    <row r="142" customFormat="false" ht="15" hidden="false" customHeight="false" outlineLevel="0" collapsed="false">
      <c r="A142" s="0" t="s">
        <v>272</v>
      </c>
      <c r="B142" s="2" t="n">
        <v>45981</v>
      </c>
      <c r="C142" s="3" t="s">
        <v>72</v>
      </c>
      <c r="D142" s="3" t="s">
        <v>48</v>
      </c>
      <c r="E142" s="3" t="s">
        <v>73</v>
      </c>
      <c r="F142" s="0" t="n">
        <v>2</v>
      </c>
      <c r="G142" s="0" t="n">
        <v>199</v>
      </c>
      <c r="H142" s="0" t="n">
        <v>0</v>
      </c>
      <c r="I142" s="3" t="s">
        <v>273</v>
      </c>
      <c r="J142" s="0" t="n">
        <v>5</v>
      </c>
      <c r="K142" s="3" t="s">
        <v>21</v>
      </c>
      <c r="L142" s="0" t="str">
        <f aca="false">VLOOKUP(D142,Products!$A$2:$D$13,2,FALSE())</f>
        <v>Home</v>
      </c>
      <c r="M142" s="3" t="n">
        <f aca="false">F142*G142*(1-H142/100)</f>
        <v>398</v>
      </c>
      <c r="N142" s="0" t="str">
        <f aca="false">VLOOKUP(I142,Customers!$A$2:$D$121,3,FALSE())</f>
        <v>Jaipur</v>
      </c>
      <c r="O142" s="0" t="str">
        <f aca="false">VLOOKUP(I142,Customers!$A$2:$D$121,4,FALSE())</f>
        <v>Corporate</v>
      </c>
      <c r="P142" s="0" t="str">
        <f aca="false">TEXT(B142,"yyyy-mm")</f>
        <v>2025-11</v>
      </c>
    </row>
    <row r="143" customFormat="false" ht="15" hidden="false" customHeight="false" outlineLevel="0" collapsed="false">
      <c r="A143" s="0" t="s">
        <v>274</v>
      </c>
      <c r="B143" s="2" t="n">
        <v>46040</v>
      </c>
      <c r="C143" s="3" t="s">
        <v>51</v>
      </c>
      <c r="D143" s="3" t="s">
        <v>28</v>
      </c>
      <c r="E143" s="3" t="s">
        <v>83</v>
      </c>
      <c r="F143" s="0" t="n">
        <v>1</v>
      </c>
      <c r="G143" s="0" t="n">
        <v>450</v>
      </c>
      <c r="H143" s="0" t="n">
        <v>0</v>
      </c>
      <c r="I143" s="3" t="s">
        <v>254</v>
      </c>
      <c r="J143" s="0" t="n">
        <v>3</v>
      </c>
      <c r="K143" s="3" t="s">
        <v>21</v>
      </c>
      <c r="L143" s="0" t="str">
        <f aca="false">VLOOKUP(D143,Products!$A$2:$D$13,2,FALSE())</f>
        <v>Electronics</v>
      </c>
      <c r="M143" s="3" t="n">
        <f aca="false">F143*G143*(1-H143/100)</f>
        <v>450</v>
      </c>
      <c r="N143" s="0" t="str">
        <f aca="false">VLOOKUP(I143,Customers!$A$2:$D$121,3,FALSE())</f>
        <v>Pune</v>
      </c>
      <c r="O143" s="0" t="str">
        <f aca="false">VLOOKUP(I143,Customers!$A$2:$D$121,4,FALSE())</f>
        <v>Student</v>
      </c>
      <c r="P143" s="0" t="str">
        <f aca="false">TEXT(B143,"yyyy-mm")</f>
        <v>2026-01</v>
      </c>
    </row>
    <row r="144" customFormat="false" ht="15" hidden="false" customHeight="false" outlineLevel="0" collapsed="false">
      <c r="A144" s="0" t="s">
        <v>275</v>
      </c>
      <c r="B144" s="2" t="n">
        <v>45888</v>
      </c>
      <c r="C144" s="3" t="s">
        <v>51</v>
      </c>
      <c r="D144" s="3" t="s">
        <v>18</v>
      </c>
      <c r="E144" s="3" t="s">
        <v>52</v>
      </c>
      <c r="F144" s="0" t="n">
        <v>1</v>
      </c>
      <c r="G144" s="0" t="n">
        <v>349</v>
      </c>
      <c r="H144" s="0" t="n">
        <v>0</v>
      </c>
      <c r="I144" s="3" t="s">
        <v>276</v>
      </c>
      <c r="J144" s="0" t="n">
        <v>5</v>
      </c>
      <c r="K144" s="3" t="s">
        <v>43</v>
      </c>
      <c r="L144" s="0" t="str">
        <f aca="false">VLOOKUP(D144,Products!$A$2:$D$13,2,FALSE())</f>
        <v>Home</v>
      </c>
      <c r="M144" s="3" t="n">
        <f aca="false">F144*G144*(1-H144/100)</f>
        <v>349</v>
      </c>
      <c r="N144" s="0" t="str">
        <f aca="false">VLOOKUP(I144,Customers!$A$2:$D$121,3,FALSE())</f>
        <v>Jaipur</v>
      </c>
      <c r="O144" s="0" t="str">
        <f aca="false">VLOOKUP(I144,Customers!$A$2:$D$121,4,FALSE())</f>
        <v>Retail</v>
      </c>
      <c r="P144" s="0" t="str">
        <f aca="false">TEXT(B144,"yyyy-mm")</f>
        <v>2025-08</v>
      </c>
    </row>
    <row r="145" customFormat="false" ht="15" hidden="false" customHeight="false" outlineLevel="0" collapsed="false">
      <c r="A145" s="0" t="s">
        <v>277</v>
      </c>
      <c r="B145" s="2" t="n">
        <v>46058</v>
      </c>
      <c r="C145" s="3" t="s">
        <v>36</v>
      </c>
      <c r="D145" s="3" t="s">
        <v>37</v>
      </c>
      <c r="E145" s="3" t="s">
        <v>69</v>
      </c>
      <c r="F145" s="0" t="n">
        <v>1</v>
      </c>
      <c r="G145" s="0" t="n">
        <v>500</v>
      </c>
      <c r="H145" s="0" t="n">
        <v>0</v>
      </c>
      <c r="I145" s="3" t="s">
        <v>203</v>
      </c>
      <c r="J145" s="0" t="n">
        <v>4</v>
      </c>
      <c r="K145" s="3" t="s">
        <v>26</v>
      </c>
      <c r="L145" s="0" t="str">
        <f aca="false">VLOOKUP(D145,Products!$A$2:$D$13,2,FALSE())</f>
        <v>Electronics</v>
      </c>
      <c r="M145" s="3" t="n">
        <f aca="false">F145*G145*(1-H145/100)</f>
        <v>500</v>
      </c>
      <c r="N145" s="0" t="str">
        <f aca="false">VLOOKUP(I145,Customers!$A$2:$D$121,3,FALSE())</f>
        <v>Jaipur</v>
      </c>
      <c r="O145" s="0" t="str">
        <f aca="false">VLOOKUP(I145,Customers!$A$2:$D$121,4,FALSE())</f>
        <v>Corporate</v>
      </c>
      <c r="P145" s="0" t="str">
        <f aca="false">TEXT(B145,"yyyy-mm")</f>
        <v>2026-02</v>
      </c>
    </row>
    <row r="146" customFormat="false" ht="15" hidden="false" customHeight="false" outlineLevel="0" collapsed="false">
      <c r="A146" s="0" t="s">
        <v>278</v>
      </c>
      <c r="B146" s="2" t="n">
        <v>46069</v>
      </c>
      <c r="C146" s="3" t="s">
        <v>17</v>
      </c>
      <c r="D146" s="3" t="s">
        <v>18</v>
      </c>
      <c r="E146" s="3" t="s">
        <v>93</v>
      </c>
      <c r="F146" s="0" t="n">
        <v>2</v>
      </c>
      <c r="G146" s="0" t="n">
        <v>349</v>
      </c>
      <c r="H146" s="0" t="n">
        <v>15</v>
      </c>
      <c r="I146" s="3" t="s">
        <v>158</v>
      </c>
      <c r="J146" s="0" t="n">
        <v>3</v>
      </c>
      <c r="K146" s="3" t="s">
        <v>21</v>
      </c>
      <c r="L146" s="0" t="str">
        <f aca="false">VLOOKUP(D146,Products!$A$2:$D$13,2,FALSE())</f>
        <v>Home</v>
      </c>
      <c r="M146" s="3" t="n">
        <f aca="false">F146*G146*(1-H146/100)</f>
        <v>593.3</v>
      </c>
      <c r="N146" s="0" t="str">
        <f aca="false">VLOOKUP(I146,Customers!$A$2:$D$121,3,FALSE())</f>
        <v>Mumbai</v>
      </c>
      <c r="O146" s="0" t="str">
        <f aca="false">VLOOKUP(I146,Customers!$A$2:$D$121,4,FALSE())</f>
        <v>Retail</v>
      </c>
      <c r="P146" s="0" t="str">
        <f aca="false">TEXT(B146,"yyyy-mm")</f>
        <v>2026-02</v>
      </c>
    </row>
    <row r="147" customFormat="false" ht="15" hidden="false" customHeight="false" outlineLevel="0" collapsed="false">
      <c r="A147" s="0" t="s">
        <v>279</v>
      </c>
      <c r="B147" s="2" t="n">
        <v>45815</v>
      </c>
      <c r="C147" s="3" t="s">
        <v>72</v>
      </c>
      <c r="D147" s="3" t="s">
        <v>116</v>
      </c>
      <c r="E147" s="3" t="s">
        <v>73</v>
      </c>
      <c r="F147" s="0" t="n">
        <v>2</v>
      </c>
      <c r="G147" s="0" t="n">
        <v>699</v>
      </c>
      <c r="H147" s="0" t="n">
        <v>0</v>
      </c>
      <c r="I147" s="3" t="s">
        <v>280</v>
      </c>
      <c r="J147" s="0" t="n">
        <v>3</v>
      </c>
      <c r="K147" s="3" t="s">
        <v>26</v>
      </c>
      <c r="L147" s="0" t="str">
        <f aca="false">VLOOKUP(D147,Products!$A$2:$D$13,2,FALSE())</f>
        <v>Home</v>
      </c>
      <c r="M147" s="3" t="n">
        <f aca="false">F147*G147*(1-H147/100)</f>
        <v>1398</v>
      </c>
      <c r="N147" s="0" t="str">
        <f aca="false">VLOOKUP(I147,Customers!$A$2:$D$121,3,FALSE())</f>
        <v>Kolkata</v>
      </c>
      <c r="O147" s="0" t="str">
        <f aca="false">VLOOKUP(I147,Customers!$A$2:$D$121,4,FALSE())</f>
        <v>Corporate</v>
      </c>
      <c r="P147" s="0" t="str">
        <f aca="false">TEXT(B147,"yyyy-mm")</f>
        <v>2025-06</v>
      </c>
    </row>
    <row r="148" customFormat="false" ht="15" hidden="false" customHeight="false" outlineLevel="0" collapsed="false">
      <c r="A148" s="0" t="s">
        <v>281</v>
      </c>
      <c r="B148" s="2" t="n">
        <v>46024</v>
      </c>
      <c r="C148" s="3" t="s">
        <v>36</v>
      </c>
      <c r="D148" s="3" t="s">
        <v>28</v>
      </c>
      <c r="E148" s="3" t="s">
        <v>69</v>
      </c>
      <c r="F148" s="0" t="n">
        <v>1</v>
      </c>
      <c r="G148" s="0" t="n">
        <v>450</v>
      </c>
      <c r="H148" s="0" t="n">
        <v>0</v>
      </c>
      <c r="I148" s="3" t="s">
        <v>165</v>
      </c>
      <c r="J148" s="0" t="n">
        <v>4</v>
      </c>
      <c r="K148" s="3" t="s">
        <v>26</v>
      </c>
      <c r="L148" s="0" t="str">
        <f aca="false">VLOOKUP(D148,Products!$A$2:$D$13,2,FALSE())</f>
        <v>Electronics</v>
      </c>
      <c r="M148" s="3" t="n">
        <f aca="false">F148*G148*(1-H148/100)</f>
        <v>450</v>
      </c>
      <c r="N148" s="0" t="str">
        <f aca="false">VLOOKUP(I148,Customers!$A$2:$D$121,3,FALSE())</f>
        <v>Mumbai</v>
      </c>
      <c r="O148" s="0" t="str">
        <f aca="false">VLOOKUP(I148,Customers!$A$2:$D$121,4,FALSE())</f>
        <v>Retail</v>
      </c>
      <c r="P148" s="0" t="str">
        <f aca="false">TEXT(B148,"yyyy-mm")</f>
        <v>2026-01</v>
      </c>
    </row>
    <row r="149" customFormat="false" ht="15" hidden="false" customHeight="false" outlineLevel="0" collapsed="false">
      <c r="A149" s="0" t="s">
        <v>282</v>
      </c>
      <c r="B149" s="2" t="n">
        <v>45899</v>
      </c>
      <c r="C149" s="3" t="s">
        <v>51</v>
      </c>
      <c r="D149" s="3" t="s">
        <v>37</v>
      </c>
      <c r="E149" s="3" t="s">
        <v>52</v>
      </c>
      <c r="F149" s="0" t="n">
        <v>1</v>
      </c>
      <c r="G149" s="0" t="n">
        <v>500</v>
      </c>
      <c r="H149" s="0" t="n">
        <v>15</v>
      </c>
      <c r="I149" s="3" t="s">
        <v>264</v>
      </c>
      <c r="J149" s="0" t="n">
        <v>4</v>
      </c>
      <c r="K149" s="3" t="s">
        <v>43</v>
      </c>
      <c r="L149" s="0" t="str">
        <f aca="false">VLOOKUP(D149,Products!$A$2:$D$13,2,FALSE())</f>
        <v>Electronics</v>
      </c>
      <c r="M149" s="3" t="n">
        <f aca="false">F149*G149*(1-H149/100)</f>
        <v>425</v>
      </c>
      <c r="N149" s="0" t="str">
        <f aca="false">VLOOKUP(I149,Customers!$A$2:$D$121,3,FALSE())</f>
        <v>Kolkata</v>
      </c>
      <c r="O149" s="0" t="str">
        <f aca="false">VLOOKUP(I149,Customers!$A$2:$D$121,4,FALSE())</f>
        <v>Student</v>
      </c>
      <c r="P149" s="0" t="str">
        <f aca="false">TEXT(B149,"yyyy-mm")</f>
        <v>2025-08</v>
      </c>
    </row>
    <row r="150" customFormat="false" ht="15" hidden="false" customHeight="false" outlineLevel="0" collapsed="false">
      <c r="A150" s="0" t="s">
        <v>283</v>
      </c>
      <c r="B150" s="2" t="n">
        <v>45863</v>
      </c>
      <c r="C150" s="3" t="s">
        <v>36</v>
      </c>
      <c r="D150" s="3" t="s">
        <v>45</v>
      </c>
      <c r="E150" s="3" t="s">
        <v>69</v>
      </c>
      <c r="F150" s="0" t="n">
        <v>4</v>
      </c>
      <c r="G150" s="0" t="n">
        <v>30</v>
      </c>
      <c r="H150" s="0" t="n">
        <v>15</v>
      </c>
      <c r="I150" s="3" t="s">
        <v>284</v>
      </c>
      <c r="J150" s="0" t="n">
        <v>4</v>
      </c>
      <c r="K150" s="3" t="s">
        <v>34</v>
      </c>
      <c r="L150" s="0" t="str">
        <f aca="false">VLOOKUP(D150,Products!$A$2:$D$13,2,FALSE())</f>
        <v>Stationery</v>
      </c>
      <c r="M150" s="3" t="n">
        <f aca="false">F150*G150*(1-H150/100)</f>
        <v>102</v>
      </c>
      <c r="N150" s="0" t="str">
        <f aca="false">VLOOKUP(I150,Customers!$A$2:$D$121,3,FALSE())</f>
        <v>Jaipur</v>
      </c>
      <c r="O150" s="0" t="str">
        <f aca="false">VLOOKUP(I150,Customers!$A$2:$D$121,4,FALSE())</f>
        <v>Retail</v>
      </c>
      <c r="P150" s="0" t="str">
        <f aca="false">TEXT(B150,"yyyy-mm")</f>
        <v>2025-07</v>
      </c>
    </row>
    <row r="151" customFormat="false" ht="15" hidden="false" customHeight="false" outlineLevel="0" collapsed="false">
      <c r="A151" s="0" t="s">
        <v>285</v>
      </c>
      <c r="B151" s="2" t="n">
        <v>45755</v>
      </c>
      <c r="C151" s="3" t="s">
        <v>51</v>
      </c>
      <c r="D151" s="3" t="s">
        <v>45</v>
      </c>
      <c r="E151" s="3" t="s">
        <v>83</v>
      </c>
      <c r="F151" s="0" t="n">
        <v>1</v>
      </c>
      <c r="G151" s="0" t="n">
        <v>30</v>
      </c>
      <c r="H151" s="0" t="n">
        <v>0</v>
      </c>
      <c r="I151" s="3" t="s">
        <v>286</v>
      </c>
      <c r="J151" s="0" t="n">
        <v>2</v>
      </c>
      <c r="K151" s="3" t="s">
        <v>34</v>
      </c>
      <c r="L151" s="0" t="str">
        <f aca="false">VLOOKUP(D151,Products!$A$2:$D$13,2,FALSE())</f>
        <v>Stationery</v>
      </c>
      <c r="M151" s="3" t="n">
        <f aca="false">F151*G151*(1-H151/100)</f>
        <v>30</v>
      </c>
      <c r="N151" s="0" t="str">
        <f aca="false">VLOOKUP(I151,Customers!$A$2:$D$121,3,FALSE())</f>
        <v>Pune</v>
      </c>
      <c r="O151" s="0" t="str">
        <f aca="false">VLOOKUP(I151,Customers!$A$2:$D$121,4,FALSE())</f>
        <v>Corporate</v>
      </c>
      <c r="P151" s="0" t="str">
        <f aca="false">TEXT(B151,"yyyy-mm")</f>
        <v>2025-04</v>
      </c>
    </row>
    <row r="152" customFormat="false" ht="15" hidden="false" customHeight="false" outlineLevel="0" collapsed="false">
      <c r="A152" s="0" t="s">
        <v>287</v>
      </c>
      <c r="B152" s="2" t="n">
        <v>46074</v>
      </c>
      <c r="C152" s="3" t="s">
        <v>51</v>
      </c>
      <c r="D152" s="3" t="s">
        <v>116</v>
      </c>
      <c r="E152" s="3" t="s">
        <v>83</v>
      </c>
      <c r="F152" s="0" t="n">
        <v>1</v>
      </c>
      <c r="G152" s="0" t="n">
        <v>699</v>
      </c>
      <c r="H152" s="0" t="n">
        <v>0</v>
      </c>
      <c r="I152" s="3" t="s">
        <v>39</v>
      </c>
      <c r="J152" s="0" t="n">
        <v>4</v>
      </c>
      <c r="K152" s="3" t="s">
        <v>21</v>
      </c>
      <c r="L152" s="0" t="str">
        <f aca="false">VLOOKUP(D152,Products!$A$2:$D$13,2,FALSE())</f>
        <v>Home</v>
      </c>
      <c r="M152" s="3" t="n">
        <f aca="false">F152*G152*(1-H152/100)</f>
        <v>699</v>
      </c>
      <c r="N152" s="0" t="str">
        <f aca="false">VLOOKUP(I152,Customers!$A$2:$D$121,3,FALSE())</f>
        <v>Chennai</v>
      </c>
      <c r="O152" s="0" t="str">
        <f aca="false">VLOOKUP(I152,Customers!$A$2:$D$121,4,FALSE())</f>
        <v>Retail</v>
      </c>
      <c r="P152" s="0" t="str">
        <f aca="false">TEXT(B152,"yyyy-mm")</f>
        <v>2026-02</v>
      </c>
    </row>
    <row r="153" customFormat="false" ht="15" hidden="false" customHeight="false" outlineLevel="0" collapsed="false">
      <c r="A153" s="0" t="s">
        <v>288</v>
      </c>
      <c r="B153" s="2" t="n">
        <v>45915</v>
      </c>
      <c r="C153" s="3" t="s">
        <v>23</v>
      </c>
      <c r="D153" s="3" t="s">
        <v>116</v>
      </c>
      <c r="E153" s="3" t="s">
        <v>29</v>
      </c>
      <c r="F153" s="0" t="n">
        <v>2</v>
      </c>
      <c r="G153" s="0" t="n">
        <v>699</v>
      </c>
      <c r="H153" s="0" t="n">
        <v>10</v>
      </c>
      <c r="I153" s="3" t="s">
        <v>203</v>
      </c>
      <c r="J153" s="0" t="n">
        <v>4</v>
      </c>
      <c r="K153" s="3" t="s">
        <v>34</v>
      </c>
      <c r="L153" s="0" t="str">
        <f aca="false">VLOOKUP(D153,Products!$A$2:$D$13,2,FALSE())</f>
        <v>Home</v>
      </c>
      <c r="M153" s="3" t="n">
        <f aca="false">F153*G153*(1-H153/100)</f>
        <v>1258.2</v>
      </c>
      <c r="N153" s="0" t="str">
        <f aca="false">VLOOKUP(I153,Customers!$A$2:$D$121,3,FALSE())</f>
        <v>Jaipur</v>
      </c>
      <c r="O153" s="0" t="str">
        <f aca="false">VLOOKUP(I153,Customers!$A$2:$D$121,4,FALSE())</f>
        <v>Corporate</v>
      </c>
      <c r="P153" s="0" t="str">
        <f aca="false">TEXT(B153,"yyyy-mm")</f>
        <v>2025-09</v>
      </c>
    </row>
    <row r="154" customFormat="false" ht="15" hidden="false" customHeight="false" outlineLevel="0" collapsed="false">
      <c r="A154" s="0" t="s">
        <v>289</v>
      </c>
      <c r="B154" s="2" t="n">
        <v>45807</v>
      </c>
      <c r="C154" s="3" t="s">
        <v>51</v>
      </c>
      <c r="D154" s="3" t="s">
        <v>18</v>
      </c>
      <c r="E154" s="3" t="s">
        <v>83</v>
      </c>
      <c r="F154" s="0" t="n">
        <v>8</v>
      </c>
      <c r="G154" s="0" t="n">
        <v>349</v>
      </c>
      <c r="H154" s="0" t="n">
        <v>0</v>
      </c>
      <c r="I154" s="3" t="s">
        <v>158</v>
      </c>
      <c r="J154" s="0" t="n">
        <v>5</v>
      </c>
      <c r="K154" s="3" t="s">
        <v>43</v>
      </c>
      <c r="L154" s="0" t="str">
        <f aca="false">VLOOKUP(D154,Products!$A$2:$D$13,2,FALSE())</f>
        <v>Home</v>
      </c>
      <c r="M154" s="3" t="n">
        <f aca="false">F154*G154*(1-H154/100)</f>
        <v>2792</v>
      </c>
      <c r="N154" s="0" t="str">
        <f aca="false">VLOOKUP(I154,Customers!$A$2:$D$121,3,FALSE())</f>
        <v>Mumbai</v>
      </c>
      <c r="O154" s="0" t="str">
        <f aca="false">VLOOKUP(I154,Customers!$A$2:$D$121,4,FALSE())</f>
        <v>Retail</v>
      </c>
      <c r="P154" s="0" t="str">
        <f aca="false">TEXT(B154,"yyyy-mm")</f>
        <v>2025-05</v>
      </c>
    </row>
    <row r="155" customFormat="false" ht="15" hidden="false" customHeight="false" outlineLevel="0" collapsed="false">
      <c r="A155" s="0" t="s">
        <v>290</v>
      </c>
      <c r="B155" s="2" t="n">
        <v>45868</v>
      </c>
      <c r="C155" s="3" t="s">
        <v>17</v>
      </c>
      <c r="D155" s="3" t="s">
        <v>45</v>
      </c>
      <c r="E155" s="3" t="s">
        <v>93</v>
      </c>
      <c r="F155" s="0" t="n">
        <v>1</v>
      </c>
      <c r="G155" s="0" t="n">
        <v>30</v>
      </c>
      <c r="H155" s="0" t="n">
        <v>10</v>
      </c>
      <c r="I155" s="3" t="s">
        <v>291</v>
      </c>
      <c r="J155" s="0" t="n">
        <v>4</v>
      </c>
      <c r="K155" s="3" t="s">
        <v>43</v>
      </c>
      <c r="L155" s="0" t="str">
        <f aca="false">VLOOKUP(D155,Products!$A$2:$D$13,2,FALSE())</f>
        <v>Stationery</v>
      </c>
      <c r="M155" s="3" t="n">
        <f aca="false">F155*G155*(1-H155/100)</f>
        <v>27</v>
      </c>
      <c r="N155" s="0" t="str">
        <f aca="false">VLOOKUP(I155,Customers!$A$2:$D$121,3,FALSE())</f>
        <v>Pune</v>
      </c>
      <c r="O155" s="0" t="str">
        <f aca="false">VLOOKUP(I155,Customers!$A$2:$D$121,4,FALSE())</f>
        <v>Retail</v>
      </c>
      <c r="P155" s="0" t="str">
        <f aca="false">TEXT(B155,"yyyy-mm")</f>
        <v>2025-07</v>
      </c>
    </row>
    <row r="156" customFormat="false" ht="15" hidden="false" customHeight="false" outlineLevel="0" collapsed="false">
      <c r="A156" s="0" t="s">
        <v>292</v>
      </c>
      <c r="B156" s="2" t="n">
        <v>45960</v>
      </c>
      <c r="C156" s="3" t="s">
        <v>36</v>
      </c>
      <c r="D156" s="3" t="s">
        <v>116</v>
      </c>
      <c r="E156" s="3" t="s">
        <v>69</v>
      </c>
      <c r="F156" s="0" t="n">
        <v>2</v>
      </c>
      <c r="G156" s="0" t="n">
        <v>699</v>
      </c>
      <c r="H156" s="0" t="n">
        <v>15</v>
      </c>
      <c r="I156" s="3" t="s">
        <v>98</v>
      </c>
      <c r="J156" s="0" t="n">
        <v>5</v>
      </c>
      <c r="K156" s="3" t="s">
        <v>34</v>
      </c>
      <c r="L156" s="0" t="str">
        <f aca="false">VLOOKUP(D156,Products!$A$2:$D$13,2,FALSE())</f>
        <v>Home</v>
      </c>
      <c r="M156" s="3" t="n">
        <f aca="false">F156*G156*(1-H156/100)</f>
        <v>1188.3</v>
      </c>
      <c r="N156" s="0" t="str">
        <f aca="false">VLOOKUP(I156,Customers!$A$2:$D$121,3,FALSE())</f>
        <v>Pune</v>
      </c>
      <c r="O156" s="0" t="str">
        <f aca="false">VLOOKUP(I156,Customers!$A$2:$D$121,4,FALSE())</f>
        <v>Retail</v>
      </c>
      <c r="P156" s="0" t="str">
        <f aca="false">TEXT(B156,"yyyy-mm")</f>
        <v>2025-10</v>
      </c>
    </row>
    <row r="157" customFormat="false" ht="15" hidden="false" customHeight="false" outlineLevel="0" collapsed="false">
      <c r="A157" s="0" t="s">
        <v>293</v>
      </c>
      <c r="B157" s="2" t="n">
        <v>46026</v>
      </c>
      <c r="C157" s="3" t="s">
        <v>72</v>
      </c>
      <c r="D157" s="3" t="s">
        <v>18</v>
      </c>
      <c r="E157" s="3" t="s">
        <v>73</v>
      </c>
      <c r="F157" s="0" t="n">
        <v>1</v>
      </c>
      <c r="G157" s="0" t="n">
        <v>349</v>
      </c>
      <c r="H157" s="0" t="n">
        <v>15</v>
      </c>
      <c r="I157" s="3" t="s">
        <v>135</v>
      </c>
      <c r="J157" s="0" t="n">
        <v>2</v>
      </c>
      <c r="K157" s="3" t="s">
        <v>26</v>
      </c>
      <c r="L157" s="0" t="str">
        <f aca="false">VLOOKUP(D157,Products!$A$2:$D$13,2,FALSE())</f>
        <v>Home</v>
      </c>
      <c r="M157" s="3" t="n">
        <f aca="false">F157*G157*(1-H157/100)</f>
        <v>296.65</v>
      </c>
      <c r="N157" s="0" t="str">
        <f aca="false">VLOOKUP(I157,Customers!$A$2:$D$121,3,FALSE())</f>
        <v>Jaipur</v>
      </c>
      <c r="O157" s="0" t="str">
        <f aca="false">VLOOKUP(I157,Customers!$A$2:$D$121,4,FALSE())</f>
        <v>Corporate</v>
      </c>
      <c r="P157" s="0" t="str">
        <f aca="false">TEXT(B157,"yyyy-mm")</f>
        <v>2026-01</v>
      </c>
    </row>
    <row r="158" customFormat="false" ht="15" hidden="false" customHeight="false" outlineLevel="0" collapsed="false">
      <c r="A158" s="0" t="s">
        <v>294</v>
      </c>
      <c r="B158" s="2" t="n">
        <v>45794</v>
      </c>
      <c r="C158" s="3" t="s">
        <v>51</v>
      </c>
      <c r="D158" s="3" t="s">
        <v>45</v>
      </c>
      <c r="E158" s="3" t="s">
        <v>52</v>
      </c>
      <c r="F158" s="0" t="n">
        <v>3</v>
      </c>
      <c r="G158" s="0" t="n">
        <v>30</v>
      </c>
      <c r="H158" s="0" t="n">
        <v>15</v>
      </c>
      <c r="I158" s="3" t="s">
        <v>86</v>
      </c>
      <c r="J158" s="0" t="n">
        <v>4</v>
      </c>
      <c r="K158" s="3" t="s">
        <v>21</v>
      </c>
      <c r="L158" s="0" t="str">
        <f aca="false">VLOOKUP(D158,Products!$A$2:$D$13,2,FALSE())</f>
        <v>Stationery</v>
      </c>
      <c r="M158" s="3" t="n">
        <f aca="false">F158*G158*(1-H158/100)</f>
        <v>76.5</v>
      </c>
      <c r="N158" s="0" t="str">
        <f aca="false">VLOOKUP(I158,Customers!$A$2:$D$121,3,FALSE())</f>
        <v>Kolkata</v>
      </c>
      <c r="O158" s="0" t="str">
        <f aca="false">VLOOKUP(I158,Customers!$A$2:$D$121,4,FALSE())</f>
        <v>Student</v>
      </c>
      <c r="P158" s="0" t="str">
        <f aca="false">TEXT(B158,"yyyy-mm")</f>
        <v>2025-05</v>
      </c>
    </row>
    <row r="159" customFormat="false" ht="15" hidden="false" customHeight="false" outlineLevel="0" collapsed="false">
      <c r="A159" s="0" t="s">
        <v>295</v>
      </c>
      <c r="B159" s="2" t="n">
        <v>45812</v>
      </c>
      <c r="C159" s="3" t="s">
        <v>36</v>
      </c>
      <c r="D159" s="3" t="s">
        <v>41</v>
      </c>
      <c r="E159" s="3" t="s">
        <v>38</v>
      </c>
      <c r="F159" s="0" t="n">
        <v>1</v>
      </c>
      <c r="G159" s="0" t="n">
        <v>399</v>
      </c>
      <c r="H159" s="0" t="n">
        <v>10</v>
      </c>
      <c r="I159" s="3" t="s">
        <v>296</v>
      </c>
      <c r="J159" s="0" t="n">
        <v>2</v>
      </c>
      <c r="K159" s="3" t="s">
        <v>26</v>
      </c>
      <c r="L159" s="0" t="str">
        <f aca="false">VLOOKUP(D159,Products!$A$2:$D$13,2,FALSE())</f>
        <v>Electronics</v>
      </c>
      <c r="M159" s="3" t="n">
        <f aca="false">F159*G159*(1-H159/100)</f>
        <v>359.1</v>
      </c>
      <c r="N159" s="0" t="str">
        <f aca="false">VLOOKUP(I159,Customers!$A$2:$D$121,3,FALSE())</f>
        <v>Pune</v>
      </c>
      <c r="O159" s="0" t="str">
        <f aca="false">VLOOKUP(I159,Customers!$A$2:$D$121,4,FALSE())</f>
        <v>Retail</v>
      </c>
      <c r="P159" s="0" t="str">
        <f aca="false">TEXT(B159,"yyyy-mm")</f>
        <v>2025-06</v>
      </c>
    </row>
    <row r="160" customFormat="false" ht="15" hidden="false" customHeight="false" outlineLevel="0" collapsed="false">
      <c r="A160" s="0" t="s">
        <v>297</v>
      </c>
      <c r="B160" s="2" t="n">
        <v>45823</v>
      </c>
      <c r="C160" s="3" t="s">
        <v>72</v>
      </c>
      <c r="D160" s="3" t="s">
        <v>28</v>
      </c>
      <c r="E160" s="3" t="s">
        <v>89</v>
      </c>
      <c r="F160" s="0" t="n">
        <v>2</v>
      </c>
      <c r="G160" s="0" t="n">
        <v>450</v>
      </c>
      <c r="H160" s="0" t="n">
        <v>10</v>
      </c>
      <c r="I160" s="3" t="s">
        <v>130</v>
      </c>
      <c r="J160" s="0" t="n">
        <v>3</v>
      </c>
      <c r="K160" s="3" t="s">
        <v>26</v>
      </c>
      <c r="L160" s="0" t="str">
        <f aca="false">VLOOKUP(D160,Products!$A$2:$D$13,2,FALSE())</f>
        <v>Electronics</v>
      </c>
      <c r="M160" s="3" t="n">
        <f aca="false">F160*G160*(1-H160/100)</f>
        <v>810</v>
      </c>
      <c r="N160" s="0" t="str">
        <f aca="false">VLOOKUP(I160,Customers!$A$2:$D$121,3,FALSE())</f>
        <v>Nagpur</v>
      </c>
      <c r="O160" s="0" t="str">
        <f aca="false">VLOOKUP(I160,Customers!$A$2:$D$121,4,FALSE())</f>
        <v>Retail</v>
      </c>
      <c r="P160" s="0" t="str">
        <f aca="false">TEXT(B160,"yyyy-mm")</f>
        <v>2025-06</v>
      </c>
    </row>
    <row r="161" customFormat="false" ht="15" hidden="false" customHeight="false" outlineLevel="0" collapsed="false">
      <c r="A161" s="0" t="s">
        <v>298</v>
      </c>
      <c r="B161" s="2" t="n">
        <v>45837</v>
      </c>
      <c r="C161" s="3" t="s">
        <v>72</v>
      </c>
      <c r="D161" s="3" t="s">
        <v>57</v>
      </c>
      <c r="E161" s="3" t="s">
        <v>89</v>
      </c>
      <c r="F161" s="0" t="n">
        <v>2</v>
      </c>
      <c r="G161" s="0" t="n">
        <v>549</v>
      </c>
      <c r="H161" s="0" t="n">
        <v>0</v>
      </c>
      <c r="I161" s="3" t="s">
        <v>251</v>
      </c>
      <c r="J161" s="0" t="n">
        <v>5</v>
      </c>
      <c r="K161" s="3" t="s">
        <v>21</v>
      </c>
      <c r="L161" s="0" t="str">
        <f aca="false">VLOOKUP(D161,Products!$A$2:$D$13,2,FALSE())</f>
        <v>Accessories</v>
      </c>
      <c r="M161" s="3" t="n">
        <f aca="false">F161*G161*(1-H161/100)</f>
        <v>1098</v>
      </c>
      <c r="N161" s="0" t="str">
        <f aca="false">VLOOKUP(I161,Customers!$A$2:$D$121,3,FALSE())</f>
        <v>Indore</v>
      </c>
      <c r="O161" s="0" t="str">
        <f aca="false">VLOOKUP(I161,Customers!$A$2:$D$121,4,FALSE())</f>
        <v>Student</v>
      </c>
      <c r="P161" s="0" t="str">
        <f aca="false">TEXT(B161,"yyyy-mm")</f>
        <v>2025-06</v>
      </c>
    </row>
    <row r="162" customFormat="false" ht="15" hidden="false" customHeight="false" outlineLevel="0" collapsed="false">
      <c r="A162" s="0" t="s">
        <v>299</v>
      </c>
      <c r="B162" s="2" t="n">
        <v>46049</v>
      </c>
      <c r="C162" s="3" t="s">
        <v>36</v>
      </c>
      <c r="D162" s="3" t="s">
        <v>41</v>
      </c>
      <c r="E162" s="3" t="s">
        <v>38</v>
      </c>
      <c r="F162" s="0" t="n">
        <v>2</v>
      </c>
      <c r="G162" s="0" t="n">
        <v>399</v>
      </c>
      <c r="H162" s="0" t="n">
        <v>0</v>
      </c>
      <c r="I162" s="3" t="s">
        <v>172</v>
      </c>
      <c r="J162" s="0" t="n">
        <v>3</v>
      </c>
      <c r="K162" s="3" t="s">
        <v>26</v>
      </c>
      <c r="L162" s="0" t="str">
        <f aca="false">VLOOKUP(D162,Products!$A$2:$D$13,2,FALSE())</f>
        <v>Electronics</v>
      </c>
      <c r="M162" s="3" t="n">
        <f aca="false">F162*G162*(1-H162/100)</f>
        <v>798</v>
      </c>
      <c r="N162" s="0" t="str">
        <f aca="false">VLOOKUP(I162,Customers!$A$2:$D$121,3,FALSE())</f>
        <v>Delhi</v>
      </c>
      <c r="O162" s="0" t="str">
        <f aca="false">VLOOKUP(I162,Customers!$A$2:$D$121,4,FALSE())</f>
        <v>Retail</v>
      </c>
      <c r="P162" s="0" t="str">
        <f aca="false">TEXT(B162,"yyyy-mm")</f>
        <v>2026-01</v>
      </c>
    </row>
    <row r="163" customFormat="false" ht="15" hidden="false" customHeight="false" outlineLevel="0" collapsed="false">
      <c r="A163" s="0" t="s">
        <v>300</v>
      </c>
      <c r="B163" s="2" t="n">
        <v>46017</v>
      </c>
      <c r="C163" s="3" t="s">
        <v>51</v>
      </c>
      <c r="D163" s="3" t="s">
        <v>48</v>
      </c>
      <c r="E163" s="3" t="s">
        <v>83</v>
      </c>
      <c r="F163" s="0" t="n">
        <v>1</v>
      </c>
      <c r="G163" s="0" t="n">
        <v>199</v>
      </c>
      <c r="H163" s="0" t="n">
        <v>0</v>
      </c>
      <c r="I163" s="3" t="s">
        <v>65</v>
      </c>
      <c r="J163" s="0" t="n">
        <v>2</v>
      </c>
      <c r="K163" s="3" t="s">
        <v>34</v>
      </c>
      <c r="L163" s="0" t="str">
        <f aca="false">VLOOKUP(D163,Products!$A$2:$D$13,2,FALSE())</f>
        <v>Home</v>
      </c>
      <c r="M163" s="3" t="n">
        <f aca="false">F163*G163*(1-H163/100)</f>
        <v>199</v>
      </c>
      <c r="N163" s="0" t="str">
        <f aca="false">VLOOKUP(I163,Customers!$A$2:$D$121,3,FALSE())</f>
        <v>Jaipur</v>
      </c>
      <c r="O163" s="0" t="str">
        <f aca="false">VLOOKUP(I163,Customers!$A$2:$D$121,4,FALSE())</f>
        <v>Student</v>
      </c>
      <c r="P163" s="0" t="str">
        <f aca="false">TEXT(B163,"yyyy-mm")</f>
        <v>2025-12</v>
      </c>
    </row>
    <row r="164" customFormat="false" ht="15" hidden="false" customHeight="false" outlineLevel="0" collapsed="false">
      <c r="A164" s="0" t="s">
        <v>301</v>
      </c>
      <c r="B164" s="2" t="n">
        <v>45803</v>
      </c>
      <c r="C164" s="3" t="s">
        <v>23</v>
      </c>
      <c r="D164" s="3" t="s">
        <v>57</v>
      </c>
      <c r="E164" s="3" t="s">
        <v>24</v>
      </c>
      <c r="F164" s="0" t="n">
        <v>4</v>
      </c>
      <c r="G164" s="0" t="n">
        <v>549</v>
      </c>
      <c r="H164" s="0" t="n">
        <v>5</v>
      </c>
      <c r="I164" s="3" t="s">
        <v>302</v>
      </c>
      <c r="J164" s="0" t="n">
        <v>3</v>
      </c>
      <c r="K164" s="3" t="s">
        <v>34</v>
      </c>
      <c r="L164" s="0" t="str">
        <f aca="false">VLOOKUP(D164,Products!$A$2:$D$13,2,FALSE())</f>
        <v>Accessories</v>
      </c>
      <c r="M164" s="3" t="n">
        <f aca="false">F164*G164*(1-H164/100)</f>
        <v>2086.2</v>
      </c>
      <c r="N164" s="0" t="str">
        <f aca="false">VLOOKUP(I164,Customers!$A$2:$D$121,3,FALSE())</f>
        <v>Nagpur</v>
      </c>
      <c r="O164" s="0" t="str">
        <f aca="false">VLOOKUP(I164,Customers!$A$2:$D$121,4,FALSE())</f>
        <v>Retail</v>
      </c>
      <c r="P164" s="0" t="str">
        <f aca="false">TEXT(B164,"yyyy-mm")</f>
        <v>2025-05</v>
      </c>
    </row>
    <row r="165" customFormat="false" ht="15" hidden="false" customHeight="false" outlineLevel="0" collapsed="false">
      <c r="A165" s="0" t="s">
        <v>303</v>
      </c>
      <c r="B165" s="2" t="n">
        <v>45779</v>
      </c>
      <c r="C165" s="3" t="s">
        <v>17</v>
      </c>
      <c r="D165" s="3" t="s">
        <v>32</v>
      </c>
      <c r="E165" s="3" t="s">
        <v>19</v>
      </c>
      <c r="F165" s="0" t="n">
        <v>1</v>
      </c>
      <c r="G165" s="0" t="n">
        <v>249</v>
      </c>
      <c r="H165" s="0" t="n">
        <v>5</v>
      </c>
      <c r="I165" s="3" t="s">
        <v>304</v>
      </c>
      <c r="J165" s="0" t="n">
        <v>4</v>
      </c>
      <c r="K165" s="3" t="s">
        <v>43</v>
      </c>
      <c r="L165" s="0" t="str">
        <f aca="false">VLOOKUP(D165,Products!$A$2:$D$13,2,FALSE())</f>
        <v>Accessories</v>
      </c>
      <c r="M165" s="3" t="n">
        <f aca="false">F165*G165*(1-H165/100)</f>
        <v>236.55</v>
      </c>
      <c r="N165" s="0" t="str">
        <f aca="false">VLOOKUP(I165,Customers!$A$2:$D$121,3,FALSE())</f>
        <v>Delhi</v>
      </c>
      <c r="O165" s="0" t="str">
        <f aca="false">VLOOKUP(I165,Customers!$A$2:$D$121,4,FALSE())</f>
        <v>Retail</v>
      </c>
      <c r="P165" s="0" t="str">
        <f aca="false">TEXT(B165,"yyyy-mm")</f>
        <v>2025-05</v>
      </c>
    </row>
    <row r="166" customFormat="false" ht="15" hidden="false" customHeight="false" outlineLevel="0" collapsed="false">
      <c r="A166" s="0" t="s">
        <v>305</v>
      </c>
      <c r="B166" s="2" t="n">
        <v>45785</v>
      </c>
      <c r="C166" s="3" t="s">
        <v>51</v>
      </c>
      <c r="D166" s="3" t="s">
        <v>48</v>
      </c>
      <c r="E166" s="3" t="s">
        <v>52</v>
      </c>
      <c r="F166" s="0" t="n">
        <v>1</v>
      </c>
      <c r="G166" s="0" t="n">
        <v>199</v>
      </c>
      <c r="H166" s="0" t="n">
        <v>0</v>
      </c>
      <c r="I166" s="3" t="s">
        <v>150</v>
      </c>
      <c r="J166" s="0" t="n">
        <v>4</v>
      </c>
      <c r="K166" s="3" t="s">
        <v>26</v>
      </c>
      <c r="L166" s="0" t="str">
        <f aca="false">VLOOKUP(D166,Products!$A$2:$D$13,2,FALSE())</f>
        <v>Home</v>
      </c>
      <c r="M166" s="3" t="n">
        <f aca="false">F166*G166*(1-H166/100)</f>
        <v>199</v>
      </c>
      <c r="N166" s="0" t="str">
        <f aca="false">VLOOKUP(I166,Customers!$A$2:$D$121,3,FALSE())</f>
        <v>Indore</v>
      </c>
      <c r="O166" s="0" t="str">
        <f aca="false">VLOOKUP(I166,Customers!$A$2:$D$121,4,FALSE())</f>
        <v>Student</v>
      </c>
      <c r="P166" s="0" t="str">
        <f aca="false">TEXT(B166,"yyyy-mm")</f>
        <v>2025-05</v>
      </c>
    </row>
    <row r="167" customFormat="false" ht="15" hidden="false" customHeight="false" outlineLevel="0" collapsed="false">
      <c r="A167" s="0" t="s">
        <v>306</v>
      </c>
      <c r="B167" s="2" t="n">
        <v>46072</v>
      </c>
      <c r="C167" s="3" t="s">
        <v>23</v>
      </c>
      <c r="D167" s="3" t="s">
        <v>37</v>
      </c>
      <c r="E167" s="3" t="s">
        <v>29</v>
      </c>
      <c r="F167" s="0" t="n">
        <v>1</v>
      </c>
      <c r="G167" s="0" t="n">
        <v>500</v>
      </c>
      <c r="H167" s="0" t="n">
        <v>10</v>
      </c>
      <c r="I167" s="3" t="s">
        <v>205</v>
      </c>
      <c r="J167" s="0" t="n">
        <v>4</v>
      </c>
      <c r="K167" s="3" t="s">
        <v>34</v>
      </c>
      <c r="L167" s="0" t="str">
        <f aca="false">VLOOKUP(D167,Products!$A$2:$D$13,2,FALSE())</f>
        <v>Electronics</v>
      </c>
      <c r="M167" s="3" t="n">
        <f aca="false">F167*G167*(1-H167/100)</f>
        <v>450</v>
      </c>
      <c r="N167" s="0" t="str">
        <f aca="false">VLOOKUP(I167,Customers!$A$2:$D$121,3,FALSE())</f>
        <v>Jaipur</v>
      </c>
      <c r="O167" s="0" t="str">
        <f aca="false">VLOOKUP(I167,Customers!$A$2:$D$121,4,FALSE())</f>
        <v>Student</v>
      </c>
      <c r="P167" s="0" t="str">
        <f aca="false">TEXT(B167,"yyyy-mm")</f>
        <v>2026-02</v>
      </c>
    </row>
    <row r="168" customFormat="false" ht="15" hidden="false" customHeight="false" outlineLevel="0" collapsed="false">
      <c r="A168" s="0" t="s">
        <v>307</v>
      </c>
      <c r="B168" s="2" t="n">
        <v>46057</v>
      </c>
      <c r="C168" s="3" t="s">
        <v>23</v>
      </c>
      <c r="D168" s="3" t="s">
        <v>32</v>
      </c>
      <c r="E168" s="3" t="s">
        <v>24</v>
      </c>
      <c r="F168" s="0" t="n">
        <v>2</v>
      </c>
      <c r="G168" s="0" t="n">
        <v>249</v>
      </c>
      <c r="H168" s="0" t="n">
        <v>5</v>
      </c>
      <c r="I168" s="3" t="s">
        <v>98</v>
      </c>
      <c r="J168" s="0" t="n">
        <v>5</v>
      </c>
      <c r="K168" s="3" t="s">
        <v>26</v>
      </c>
      <c r="L168" s="0" t="str">
        <f aca="false">VLOOKUP(D168,Products!$A$2:$D$13,2,FALSE())</f>
        <v>Accessories</v>
      </c>
      <c r="M168" s="3" t="n">
        <f aca="false">F168*G168*(1-H168/100)</f>
        <v>473.1</v>
      </c>
      <c r="N168" s="0" t="str">
        <f aca="false">VLOOKUP(I168,Customers!$A$2:$D$121,3,FALSE())</f>
        <v>Pune</v>
      </c>
      <c r="O168" s="0" t="str">
        <f aca="false">VLOOKUP(I168,Customers!$A$2:$D$121,4,FALSE())</f>
        <v>Retail</v>
      </c>
      <c r="P168" s="0" t="str">
        <f aca="false">TEXT(B168,"yyyy-mm")</f>
        <v>2026-02</v>
      </c>
    </row>
    <row r="169" customFormat="false" ht="15" hidden="false" customHeight="false" outlineLevel="0" collapsed="false">
      <c r="A169" s="0" t="s">
        <v>308</v>
      </c>
      <c r="B169" s="2" t="n">
        <v>45864</v>
      </c>
      <c r="C169" s="3" t="s">
        <v>51</v>
      </c>
      <c r="D169" s="3" t="s">
        <v>88</v>
      </c>
      <c r="E169" s="3" t="s">
        <v>83</v>
      </c>
      <c r="F169" s="0" t="n">
        <v>2</v>
      </c>
      <c r="G169" s="0" t="n">
        <v>799</v>
      </c>
      <c r="H169" s="0" t="n">
        <v>5</v>
      </c>
      <c r="I169" s="3" t="s">
        <v>309</v>
      </c>
      <c r="J169" s="0" t="n">
        <v>5</v>
      </c>
      <c r="K169" s="3" t="s">
        <v>43</v>
      </c>
      <c r="L169" s="0" t="str">
        <f aca="false">VLOOKUP(D169,Products!$A$2:$D$13,2,FALSE())</f>
        <v>Accessories</v>
      </c>
      <c r="M169" s="3" t="n">
        <f aca="false">F169*G169*(1-H169/100)</f>
        <v>1518.1</v>
      </c>
      <c r="N169" s="0" t="str">
        <f aca="false">VLOOKUP(I169,Customers!$A$2:$D$121,3,FALSE())</f>
        <v>Delhi</v>
      </c>
      <c r="O169" s="0" t="str">
        <f aca="false">VLOOKUP(I169,Customers!$A$2:$D$121,4,FALSE())</f>
        <v>Student</v>
      </c>
      <c r="P169" s="0" t="str">
        <f aca="false">TEXT(B169,"yyyy-mm")</f>
        <v>2025-07</v>
      </c>
    </row>
    <row r="170" customFormat="false" ht="15" hidden="false" customHeight="false" outlineLevel="0" collapsed="false">
      <c r="A170" s="0" t="s">
        <v>310</v>
      </c>
      <c r="B170" s="2" t="n">
        <v>45908</v>
      </c>
      <c r="C170" s="3" t="s">
        <v>17</v>
      </c>
      <c r="D170" s="3" t="s">
        <v>48</v>
      </c>
      <c r="E170" s="3" t="s">
        <v>93</v>
      </c>
      <c r="F170" s="0" t="n">
        <v>1</v>
      </c>
      <c r="G170" s="0" t="n">
        <v>199</v>
      </c>
      <c r="H170" s="0" t="n">
        <v>5</v>
      </c>
      <c r="I170" s="3" t="s">
        <v>239</v>
      </c>
      <c r="J170" s="0" t="n">
        <v>4</v>
      </c>
      <c r="K170" s="3" t="s">
        <v>26</v>
      </c>
      <c r="L170" s="0" t="str">
        <f aca="false">VLOOKUP(D170,Products!$A$2:$D$13,2,FALSE())</f>
        <v>Home</v>
      </c>
      <c r="M170" s="3" t="n">
        <f aca="false">F170*G170*(1-H170/100)</f>
        <v>189.05</v>
      </c>
      <c r="N170" s="0" t="str">
        <f aca="false">VLOOKUP(I170,Customers!$A$2:$D$121,3,FALSE())</f>
        <v>Lucknow</v>
      </c>
      <c r="O170" s="0" t="str">
        <f aca="false">VLOOKUP(I170,Customers!$A$2:$D$121,4,FALSE())</f>
        <v>Retail</v>
      </c>
      <c r="P170" s="0" t="str">
        <f aca="false">TEXT(B170,"yyyy-mm")</f>
        <v>2025-09</v>
      </c>
    </row>
    <row r="171" customFormat="false" ht="15" hidden="false" customHeight="false" outlineLevel="0" collapsed="false">
      <c r="A171" s="0" t="s">
        <v>311</v>
      </c>
      <c r="B171" s="2" t="n">
        <v>45782</v>
      </c>
      <c r="C171" s="3" t="s">
        <v>51</v>
      </c>
      <c r="D171" s="3" t="s">
        <v>18</v>
      </c>
      <c r="E171" s="3" t="s">
        <v>83</v>
      </c>
      <c r="F171" s="0" t="n">
        <v>2</v>
      </c>
      <c r="G171" s="0" t="n">
        <v>349</v>
      </c>
      <c r="H171" s="0" t="n">
        <v>0</v>
      </c>
      <c r="I171" s="3" t="s">
        <v>125</v>
      </c>
      <c r="J171" s="0" t="n">
        <v>2</v>
      </c>
      <c r="K171" s="3" t="s">
        <v>21</v>
      </c>
      <c r="L171" s="0" t="str">
        <f aca="false">VLOOKUP(D171,Products!$A$2:$D$13,2,FALSE())</f>
        <v>Home</v>
      </c>
      <c r="M171" s="3" t="n">
        <f aca="false">F171*G171*(1-H171/100)</f>
        <v>698</v>
      </c>
      <c r="N171" s="0" t="str">
        <f aca="false">VLOOKUP(I171,Customers!$A$2:$D$121,3,FALSE())</f>
        <v>Lucknow</v>
      </c>
      <c r="O171" s="0" t="str">
        <f aca="false">VLOOKUP(I171,Customers!$A$2:$D$121,4,FALSE())</f>
        <v>Student</v>
      </c>
      <c r="P171" s="0" t="str">
        <f aca="false">TEXT(B171,"yyyy-mm")</f>
        <v>2025-05</v>
      </c>
    </row>
    <row r="172" customFormat="false" ht="15" hidden="false" customHeight="false" outlineLevel="0" collapsed="false">
      <c r="A172" s="0" t="s">
        <v>312</v>
      </c>
      <c r="B172" s="2" t="n">
        <v>45814</v>
      </c>
      <c r="C172" s="3" t="s">
        <v>72</v>
      </c>
      <c r="D172" s="3" t="s">
        <v>48</v>
      </c>
      <c r="E172" s="3" t="s">
        <v>73</v>
      </c>
      <c r="F172" s="0" t="n">
        <v>1</v>
      </c>
      <c r="G172" s="0" t="n">
        <v>199</v>
      </c>
      <c r="H172" s="0" t="n">
        <v>10</v>
      </c>
      <c r="I172" s="3" t="s">
        <v>313</v>
      </c>
      <c r="J172" s="0" t="n">
        <v>4</v>
      </c>
      <c r="K172" s="3" t="s">
        <v>21</v>
      </c>
      <c r="L172" s="0" t="str">
        <f aca="false">VLOOKUP(D172,Products!$A$2:$D$13,2,FALSE())</f>
        <v>Home</v>
      </c>
      <c r="M172" s="3" t="n">
        <f aca="false">F172*G172*(1-H172/100)</f>
        <v>179.1</v>
      </c>
      <c r="N172" s="0" t="str">
        <f aca="false">VLOOKUP(I172,Customers!$A$2:$D$121,3,FALSE())</f>
        <v>Kolkata</v>
      </c>
      <c r="O172" s="0" t="str">
        <f aca="false">VLOOKUP(I172,Customers!$A$2:$D$121,4,FALSE())</f>
        <v>Student</v>
      </c>
      <c r="P172" s="0" t="str">
        <f aca="false">TEXT(B172,"yyyy-mm")</f>
        <v>2025-06</v>
      </c>
    </row>
    <row r="173" customFormat="false" ht="15" hidden="false" customHeight="false" outlineLevel="0" collapsed="false">
      <c r="A173" s="0" t="s">
        <v>314</v>
      </c>
      <c r="B173" s="2" t="n">
        <v>46088</v>
      </c>
      <c r="C173" s="3" t="s">
        <v>72</v>
      </c>
      <c r="D173" s="3" t="s">
        <v>88</v>
      </c>
      <c r="E173" s="3" t="s">
        <v>89</v>
      </c>
      <c r="F173" s="0" t="n">
        <v>2</v>
      </c>
      <c r="G173" s="0" t="n">
        <v>799</v>
      </c>
      <c r="H173" s="0" t="n">
        <v>5</v>
      </c>
      <c r="I173" s="3" t="s">
        <v>264</v>
      </c>
      <c r="J173" s="0" t="n">
        <v>5</v>
      </c>
      <c r="K173" s="3" t="s">
        <v>34</v>
      </c>
      <c r="L173" s="0" t="str">
        <f aca="false">VLOOKUP(D173,Products!$A$2:$D$13,2,FALSE())</f>
        <v>Accessories</v>
      </c>
      <c r="M173" s="3" t="n">
        <f aca="false">F173*G173*(1-H173/100)</f>
        <v>1518.1</v>
      </c>
      <c r="N173" s="0" t="str">
        <f aca="false">VLOOKUP(I173,Customers!$A$2:$D$121,3,FALSE())</f>
        <v>Kolkata</v>
      </c>
      <c r="O173" s="0" t="str">
        <f aca="false">VLOOKUP(I173,Customers!$A$2:$D$121,4,FALSE())</f>
        <v>Student</v>
      </c>
      <c r="P173" s="0" t="str">
        <f aca="false">TEXT(B173,"yyyy-mm")</f>
        <v>2026-03</v>
      </c>
    </row>
    <row r="174" customFormat="false" ht="15" hidden="false" customHeight="false" outlineLevel="0" collapsed="false">
      <c r="A174" s="0" t="s">
        <v>315</v>
      </c>
      <c r="B174" s="2" t="n">
        <v>45928</v>
      </c>
      <c r="C174" s="3" t="s">
        <v>72</v>
      </c>
      <c r="D174" s="3" t="s">
        <v>116</v>
      </c>
      <c r="E174" s="3" t="s">
        <v>89</v>
      </c>
      <c r="F174" s="0" t="n">
        <v>1</v>
      </c>
      <c r="G174" s="0" t="n">
        <v>699</v>
      </c>
      <c r="H174" s="0" t="n">
        <v>0</v>
      </c>
      <c r="I174" s="3" t="s">
        <v>254</v>
      </c>
      <c r="J174" s="0" t="n">
        <v>4</v>
      </c>
      <c r="K174" s="3" t="s">
        <v>43</v>
      </c>
      <c r="L174" s="0" t="str">
        <f aca="false">VLOOKUP(D174,Products!$A$2:$D$13,2,FALSE())</f>
        <v>Home</v>
      </c>
      <c r="M174" s="3" t="n">
        <f aca="false">F174*G174*(1-H174/100)</f>
        <v>699</v>
      </c>
      <c r="N174" s="0" t="str">
        <f aca="false">VLOOKUP(I174,Customers!$A$2:$D$121,3,FALSE())</f>
        <v>Pune</v>
      </c>
      <c r="O174" s="0" t="str">
        <f aca="false">VLOOKUP(I174,Customers!$A$2:$D$121,4,FALSE())</f>
        <v>Student</v>
      </c>
      <c r="P174" s="0" t="str">
        <f aca="false">TEXT(B174,"yyyy-mm")</f>
        <v>2025-09</v>
      </c>
    </row>
    <row r="175" customFormat="false" ht="15" hidden="false" customHeight="false" outlineLevel="0" collapsed="false">
      <c r="A175" s="0" t="s">
        <v>316</v>
      </c>
      <c r="B175" s="2" t="n">
        <v>45927</v>
      </c>
      <c r="C175" s="3" t="s">
        <v>17</v>
      </c>
      <c r="D175" s="3" t="s">
        <v>28</v>
      </c>
      <c r="E175" s="3" t="s">
        <v>93</v>
      </c>
      <c r="F175" s="0" t="n">
        <v>2</v>
      </c>
      <c r="G175" s="0" t="n">
        <v>450</v>
      </c>
      <c r="H175" s="0" t="n">
        <v>10</v>
      </c>
      <c r="I175" s="3" t="s">
        <v>317</v>
      </c>
      <c r="J175" s="0" t="n">
        <v>2</v>
      </c>
      <c r="K175" s="3" t="s">
        <v>26</v>
      </c>
      <c r="L175" s="0" t="str">
        <f aca="false">VLOOKUP(D175,Products!$A$2:$D$13,2,FALSE())</f>
        <v>Electronics</v>
      </c>
      <c r="M175" s="3" t="n">
        <f aca="false">F175*G175*(1-H175/100)</f>
        <v>810</v>
      </c>
      <c r="N175" s="0" t="str">
        <f aca="false">VLOOKUP(I175,Customers!$A$2:$D$121,3,FALSE())</f>
        <v>Jaipur</v>
      </c>
      <c r="O175" s="0" t="str">
        <f aca="false">VLOOKUP(I175,Customers!$A$2:$D$121,4,FALSE())</f>
        <v>Student</v>
      </c>
      <c r="P175" s="0" t="str">
        <f aca="false">TEXT(B175,"yyyy-mm")</f>
        <v>2025-09</v>
      </c>
    </row>
    <row r="176" customFormat="false" ht="15" hidden="false" customHeight="false" outlineLevel="0" collapsed="false">
      <c r="A176" s="0" t="s">
        <v>318</v>
      </c>
      <c r="B176" s="2" t="n">
        <v>46066</v>
      </c>
      <c r="C176" s="3" t="s">
        <v>23</v>
      </c>
      <c r="D176" s="3" t="s">
        <v>88</v>
      </c>
      <c r="E176" s="3" t="s">
        <v>24</v>
      </c>
      <c r="F176" s="0" t="n">
        <v>1</v>
      </c>
      <c r="G176" s="0" t="n">
        <v>799</v>
      </c>
      <c r="H176" s="0" t="n">
        <v>10</v>
      </c>
      <c r="I176" s="3" t="s">
        <v>152</v>
      </c>
      <c r="J176" s="0" t="n">
        <v>4</v>
      </c>
      <c r="K176" s="3" t="s">
        <v>34</v>
      </c>
      <c r="L176" s="0" t="str">
        <f aca="false">VLOOKUP(D176,Products!$A$2:$D$13,2,FALSE())</f>
        <v>Accessories</v>
      </c>
      <c r="M176" s="3" t="n">
        <f aca="false">F176*G176*(1-H176/100)</f>
        <v>719.1</v>
      </c>
      <c r="N176" s="0" t="str">
        <f aca="false">VLOOKUP(I176,Customers!$A$2:$D$121,3,FALSE())</f>
        <v>Bhopal</v>
      </c>
      <c r="O176" s="0" t="str">
        <f aca="false">VLOOKUP(I176,Customers!$A$2:$D$121,4,FALSE())</f>
        <v>Corporate</v>
      </c>
      <c r="P176" s="0" t="str">
        <f aca="false">TEXT(B176,"yyyy-mm")</f>
        <v>2026-02</v>
      </c>
    </row>
    <row r="177" customFormat="false" ht="15" hidden="false" customHeight="false" outlineLevel="0" collapsed="false">
      <c r="A177" s="0" t="s">
        <v>319</v>
      </c>
      <c r="B177" s="2" t="n">
        <v>45887</v>
      </c>
      <c r="C177" s="3" t="s">
        <v>36</v>
      </c>
      <c r="D177" s="3" t="s">
        <v>60</v>
      </c>
      <c r="E177" s="3" t="s">
        <v>69</v>
      </c>
      <c r="F177" s="0" t="n">
        <v>5</v>
      </c>
      <c r="G177" s="0" t="n">
        <v>40</v>
      </c>
      <c r="H177" s="0" t="n">
        <v>15</v>
      </c>
      <c r="I177" s="3" t="s">
        <v>33</v>
      </c>
      <c r="J177" s="0" t="n">
        <v>3</v>
      </c>
      <c r="K177" s="3" t="s">
        <v>34</v>
      </c>
      <c r="L177" s="0" t="str">
        <f aca="false">VLOOKUP(D177,Products!$A$2:$D$13,2,FALSE())</f>
        <v>Stationery</v>
      </c>
      <c r="M177" s="3" t="n">
        <f aca="false">F177*G177*(1-H177/100)</f>
        <v>170</v>
      </c>
      <c r="N177" s="0" t="str">
        <f aca="false">VLOOKUP(I177,Customers!$A$2:$D$121,3,FALSE())</f>
        <v>Indore</v>
      </c>
      <c r="O177" s="0" t="str">
        <f aca="false">VLOOKUP(I177,Customers!$A$2:$D$121,4,FALSE())</f>
        <v>Corporate</v>
      </c>
      <c r="P177" s="0" t="str">
        <f aca="false">TEXT(B177,"yyyy-mm")</f>
        <v>2025-08</v>
      </c>
    </row>
    <row r="178" customFormat="false" ht="15" hidden="false" customHeight="false" outlineLevel="0" collapsed="false">
      <c r="A178" s="0" t="s">
        <v>320</v>
      </c>
      <c r="B178" s="2" t="n">
        <v>45821</v>
      </c>
      <c r="C178" s="3" t="s">
        <v>36</v>
      </c>
      <c r="D178" s="3" t="s">
        <v>60</v>
      </c>
      <c r="E178" s="3" t="s">
        <v>38</v>
      </c>
      <c r="F178" s="0" t="n">
        <v>1</v>
      </c>
      <c r="G178" s="0" t="n">
        <v>40</v>
      </c>
      <c r="H178" s="0" t="n">
        <v>10</v>
      </c>
      <c r="I178" s="3" t="s">
        <v>251</v>
      </c>
      <c r="J178" s="0" t="n">
        <v>4</v>
      </c>
      <c r="K178" s="3" t="s">
        <v>21</v>
      </c>
      <c r="L178" s="0" t="str">
        <f aca="false">VLOOKUP(D178,Products!$A$2:$D$13,2,FALSE())</f>
        <v>Stationery</v>
      </c>
      <c r="M178" s="3" t="n">
        <f aca="false">F178*G178*(1-H178/100)</f>
        <v>36</v>
      </c>
      <c r="N178" s="0" t="str">
        <f aca="false">VLOOKUP(I178,Customers!$A$2:$D$121,3,FALSE())</f>
        <v>Indore</v>
      </c>
      <c r="O178" s="0" t="str">
        <f aca="false">VLOOKUP(I178,Customers!$A$2:$D$121,4,FALSE())</f>
        <v>Student</v>
      </c>
      <c r="P178" s="0" t="str">
        <f aca="false">TEXT(B178,"yyyy-mm")</f>
        <v>2025-06</v>
      </c>
    </row>
    <row r="179" customFormat="false" ht="15" hidden="false" customHeight="false" outlineLevel="0" collapsed="false">
      <c r="A179" s="0" t="s">
        <v>321</v>
      </c>
      <c r="B179" s="2" t="n">
        <v>45858</v>
      </c>
      <c r="C179" s="3" t="s">
        <v>23</v>
      </c>
      <c r="D179" s="3" t="s">
        <v>45</v>
      </c>
      <c r="E179" s="3" t="s">
        <v>24</v>
      </c>
      <c r="F179" s="0" t="n">
        <v>1</v>
      </c>
      <c r="G179" s="0" t="n">
        <v>30</v>
      </c>
      <c r="H179" s="0" t="n">
        <v>5</v>
      </c>
      <c r="I179" s="3" t="s">
        <v>322</v>
      </c>
      <c r="J179" s="0" t="n">
        <v>4</v>
      </c>
      <c r="K179" s="3" t="s">
        <v>34</v>
      </c>
      <c r="L179" s="0" t="str">
        <f aca="false">VLOOKUP(D179,Products!$A$2:$D$13,2,FALSE())</f>
        <v>Stationery</v>
      </c>
      <c r="M179" s="3" t="n">
        <f aca="false">F179*G179*(1-H179/100)</f>
        <v>28.5</v>
      </c>
      <c r="N179" s="0" t="str">
        <f aca="false">VLOOKUP(I179,Customers!$A$2:$D$121,3,FALSE())</f>
        <v>Kolkata</v>
      </c>
      <c r="O179" s="0" t="str">
        <f aca="false">VLOOKUP(I179,Customers!$A$2:$D$121,4,FALSE())</f>
        <v>Retail</v>
      </c>
      <c r="P179" s="0" t="str">
        <f aca="false">TEXT(B179,"yyyy-mm")</f>
        <v>2025-07</v>
      </c>
    </row>
    <row r="180" customFormat="false" ht="15" hidden="false" customHeight="false" outlineLevel="0" collapsed="false">
      <c r="A180" s="0" t="s">
        <v>323</v>
      </c>
      <c r="B180" s="2" t="n">
        <v>46038</v>
      </c>
      <c r="C180" s="3" t="s">
        <v>72</v>
      </c>
      <c r="D180" s="3" t="s">
        <v>37</v>
      </c>
      <c r="E180" s="3" t="s">
        <v>89</v>
      </c>
      <c r="F180" s="0" t="n">
        <v>1</v>
      </c>
      <c r="G180" s="0" t="n">
        <v>500</v>
      </c>
      <c r="H180" s="0" t="n">
        <v>10</v>
      </c>
      <c r="I180" s="3" t="s">
        <v>324</v>
      </c>
      <c r="J180" s="0" t="n">
        <v>5</v>
      </c>
      <c r="K180" s="3" t="s">
        <v>26</v>
      </c>
      <c r="L180" s="0" t="str">
        <f aca="false">VLOOKUP(D180,Products!$A$2:$D$13,2,FALSE())</f>
        <v>Electronics</v>
      </c>
      <c r="M180" s="3" t="n">
        <f aca="false">F180*G180*(1-H180/100)</f>
        <v>450</v>
      </c>
      <c r="N180" s="0" t="str">
        <f aca="false">VLOOKUP(I180,Customers!$A$2:$D$121,3,FALSE())</f>
        <v>Bhopal</v>
      </c>
      <c r="O180" s="0" t="str">
        <f aca="false">VLOOKUP(I180,Customers!$A$2:$D$121,4,FALSE())</f>
        <v>Retail</v>
      </c>
      <c r="P180" s="0" t="str">
        <f aca="false">TEXT(B180,"yyyy-mm")</f>
        <v>2026-01</v>
      </c>
    </row>
    <row r="181" customFormat="false" ht="15" hidden="false" customHeight="false" outlineLevel="0" collapsed="false">
      <c r="A181" s="0" t="s">
        <v>325</v>
      </c>
      <c r="B181" s="2" t="n">
        <v>46093</v>
      </c>
      <c r="C181" s="3" t="s">
        <v>17</v>
      </c>
      <c r="D181" s="3" t="s">
        <v>116</v>
      </c>
      <c r="E181" s="3" t="s">
        <v>93</v>
      </c>
      <c r="F181" s="0" t="n">
        <v>5</v>
      </c>
      <c r="G181" s="0" t="n">
        <v>699</v>
      </c>
      <c r="H181" s="0" t="n">
        <v>0</v>
      </c>
      <c r="I181" s="3" t="s">
        <v>195</v>
      </c>
      <c r="J181" s="0" t="n">
        <v>4</v>
      </c>
      <c r="K181" s="3" t="s">
        <v>43</v>
      </c>
      <c r="L181" s="0" t="str">
        <f aca="false">VLOOKUP(D181,Products!$A$2:$D$13,2,FALSE())</f>
        <v>Home</v>
      </c>
      <c r="M181" s="3" t="n">
        <f aca="false">F181*G181*(1-H181/100)</f>
        <v>3495</v>
      </c>
      <c r="N181" s="0" t="str">
        <f aca="false">VLOOKUP(I181,Customers!$A$2:$D$121,3,FALSE())</f>
        <v>Pune</v>
      </c>
      <c r="O181" s="0" t="str">
        <f aca="false">VLOOKUP(I181,Customers!$A$2:$D$121,4,FALSE())</f>
        <v>Student</v>
      </c>
      <c r="P181" s="0" t="str">
        <f aca="false">TEXT(B181,"yyyy-mm")</f>
        <v>2026-03</v>
      </c>
    </row>
    <row r="182" customFormat="false" ht="15" hidden="false" customHeight="false" outlineLevel="0" collapsed="false">
      <c r="A182" s="0" t="s">
        <v>326</v>
      </c>
      <c r="B182" s="2" t="n">
        <v>45960</v>
      </c>
      <c r="C182" s="3" t="s">
        <v>51</v>
      </c>
      <c r="D182" s="3" t="s">
        <v>116</v>
      </c>
      <c r="E182" s="3" t="s">
        <v>52</v>
      </c>
      <c r="F182" s="0" t="n">
        <v>4</v>
      </c>
      <c r="G182" s="0" t="n">
        <v>699</v>
      </c>
      <c r="H182" s="0" t="n">
        <v>0</v>
      </c>
      <c r="I182" s="3" t="s">
        <v>86</v>
      </c>
      <c r="J182" s="0" t="n">
        <v>5</v>
      </c>
      <c r="K182" s="3" t="s">
        <v>34</v>
      </c>
      <c r="L182" s="0" t="str">
        <f aca="false">VLOOKUP(D182,Products!$A$2:$D$13,2,FALSE())</f>
        <v>Home</v>
      </c>
      <c r="M182" s="3" t="n">
        <f aca="false">F182*G182*(1-H182/100)</f>
        <v>2796</v>
      </c>
      <c r="N182" s="0" t="str">
        <f aca="false">VLOOKUP(I182,Customers!$A$2:$D$121,3,FALSE())</f>
        <v>Kolkata</v>
      </c>
      <c r="O182" s="0" t="str">
        <f aca="false">VLOOKUP(I182,Customers!$A$2:$D$121,4,FALSE())</f>
        <v>Student</v>
      </c>
      <c r="P182" s="0" t="str">
        <f aca="false">TEXT(B182,"yyyy-mm")</f>
        <v>2025-10</v>
      </c>
    </row>
    <row r="183" customFormat="false" ht="15" hidden="false" customHeight="false" outlineLevel="0" collapsed="false">
      <c r="A183" s="0" t="s">
        <v>327</v>
      </c>
      <c r="B183" s="2" t="n">
        <v>45893</v>
      </c>
      <c r="C183" s="3" t="s">
        <v>17</v>
      </c>
      <c r="D183" s="3" t="s">
        <v>88</v>
      </c>
      <c r="E183" s="3" t="s">
        <v>93</v>
      </c>
      <c r="F183" s="0" t="n">
        <v>1</v>
      </c>
      <c r="G183" s="0" t="n">
        <v>799</v>
      </c>
      <c r="H183" s="0" t="n">
        <v>15</v>
      </c>
      <c r="I183" s="3" t="s">
        <v>152</v>
      </c>
      <c r="J183" s="0" t="n">
        <v>4</v>
      </c>
      <c r="K183" s="3" t="s">
        <v>21</v>
      </c>
      <c r="L183" s="0" t="str">
        <f aca="false">VLOOKUP(D183,Products!$A$2:$D$13,2,FALSE())</f>
        <v>Accessories</v>
      </c>
      <c r="M183" s="3" t="n">
        <f aca="false">F183*G183*(1-H183/100)</f>
        <v>679.15</v>
      </c>
      <c r="N183" s="0" t="str">
        <f aca="false">VLOOKUP(I183,Customers!$A$2:$D$121,3,FALSE())</f>
        <v>Bhopal</v>
      </c>
      <c r="O183" s="0" t="str">
        <f aca="false">VLOOKUP(I183,Customers!$A$2:$D$121,4,FALSE())</f>
        <v>Corporate</v>
      </c>
      <c r="P183" s="0" t="str">
        <f aca="false">TEXT(B183,"yyyy-mm")</f>
        <v>2025-08</v>
      </c>
    </row>
    <row r="184" customFormat="false" ht="15" hidden="false" customHeight="false" outlineLevel="0" collapsed="false">
      <c r="A184" s="0" t="s">
        <v>328</v>
      </c>
      <c r="B184" s="2" t="n">
        <v>46054</v>
      </c>
      <c r="C184" s="3" t="s">
        <v>51</v>
      </c>
      <c r="D184" s="3" t="s">
        <v>28</v>
      </c>
      <c r="E184" s="3" t="s">
        <v>52</v>
      </c>
      <c r="F184" s="0" t="n">
        <v>2</v>
      </c>
      <c r="G184" s="0" t="n">
        <v>450</v>
      </c>
      <c r="H184" s="0" t="n">
        <v>0</v>
      </c>
      <c r="I184" s="3" t="s">
        <v>130</v>
      </c>
      <c r="J184" s="0" t="n">
        <v>3</v>
      </c>
      <c r="K184" s="3" t="s">
        <v>26</v>
      </c>
      <c r="L184" s="0" t="str">
        <f aca="false">VLOOKUP(D184,Products!$A$2:$D$13,2,FALSE())</f>
        <v>Electronics</v>
      </c>
      <c r="M184" s="3" t="n">
        <f aca="false">F184*G184*(1-H184/100)</f>
        <v>900</v>
      </c>
      <c r="N184" s="0" t="str">
        <f aca="false">VLOOKUP(I184,Customers!$A$2:$D$121,3,FALSE())</f>
        <v>Nagpur</v>
      </c>
      <c r="O184" s="0" t="str">
        <f aca="false">VLOOKUP(I184,Customers!$A$2:$D$121,4,FALSE())</f>
        <v>Retail</v>
      </c>
      <c r="P184" s="0" t="str">
        <f aca="false">TEXT(B184,"yyyy-mm")</f>
        <v>2026-02</v>
      </c>
    </row>
    <row r="185" customFormat="false" ht="15" hidden="false" customHeight="false" outlineLevel="0" collapsed="false">
      <c r="A185" s="0" t="s">
        <v>329</v>
      </c>
      <c r="B185" s="2" t="n">
        <v>45915</v>
      </c>
      <c r="C185" s="3" t="s">
        <v>72</v>
      </c>
      <c r="D185" s="3" t="s">
        <v>37</v>
      </c>
      <c r="E185" s="3" t="s">
        <v>73</v>
      </c>
      <c r="F185" s="0" t="n">
        <v>3</v>
      </c>
      <c r="G185" s="0" t="n">
        <v>500</v>
      </c>
      <c r="H185" s="0" t="n">
        <v>0</v>
      </c>
      <c r="I185" s="3" t="s">
        <v>130</v>
      </c>
      <c r="J185" s="0" t="n">
        <v>4</v>
      </c>
      <c r="K185" s="3" t="s">
        <v>26</v>
      </c>
      <c r="L185" s="0" t="str">
        <f aca="false">VLOOKUP(D185,Products!$A$2:$D$13,2,FALSE())</f>
        <v>Electronics</v>
      </c>
      <c r="M185" s="3" t="n">
        <f aca="false">F185*G185*(1-H185/100)</f>
        <v>1500</v>
      </c>
      <c r="N185" s="0" t="str">
        <f aca="false">VLOOKUP(I185,Customers!$A$2:$D$121,3,FALSE())</f>
        <v>Nagpur</v>
      </c>
      <c r="O185" s="0" t="str">
        <f aca="false">VLOOKUP(I185,Customers!$A$2:$D$121,4,FALSE())</f>
        <v>Retail</v>
      </c>
      <c r="P185" s="0" t="str">
        <f aca="false">TEXT(B185,"yyyy-mm")</f>
        <v>2025-09</v>
      </c>
    </row>
    <row r="186" customFormat="false" ht="15" hidden="false" customHeight="false" outlineLevel="0" collapsed="false">
      <c r="A186" s="0" t="s">
        <v>330</v>
      </c>
      <c r="B186" s="2" t="n">
        <v>46020</v>
      </c>
      <c r="C186" s="3" t="s">
        <v>51</v>
      </c>
      <c r="D186" s="3" t="s">
        <v>108</v>
      </c>
      <c r="E186" s="3" t="s">
        <v>83</v>
      </c>
      <c r="F186" s="0" t="n">
        <v>2</v>
      </c>
      <c r="G186" s="0" t="n">
        <v>180</v>
      </c>
      <c r="H186" s="0" t="n">
        <v>15</v>
      </c>
      <c r="I186" s="3" t="s">
        <v>49</v>
      </c>
      <c r="J186" s="0" t="n">
        <v>4</v>
      </c>
      <c r="K186" s="3" t="s">
        <v>21</v>
      </c>
      <c r="L186" s="0" t="str">
        <f aca="false">VLOOKUP(D186,Products!$A$2:$D$13,2,FALSE())</f>
        <v>Stationery</v>
      </c>
      <c r="M186" s="3" t="n">
        <f aca="false">F186*G186*(1-H186/100)</f>
        <v>306</v>
      </c>
      <c r="N186" s="0" t="str">
        <f aca="false">VLOOKUP(I186,Customers!$A$2:$D$121,3,FALSE())</f>
        <v>Indore</v>
      </c>
      <c r="O186" s="0" t="str">
        <f aca="false">VLOOKUP(I186,Customers!$A$2:$D$121,4,FALSE())</f>
        <v>Student</v>
      </c>
      <c r="P186" s="0" t="str">
        <f aca="false">TEXT(B186,"yyyy-mm")</f>
        <v>2025-12</v>
      </c>
    </row>
    <row r="187" customFormat="false" ht="15" hidden="false" customHeight="false" outlineLevel="0" collapsed="false">
      <c r="A187" s="0" t="s">
        <v>331</v>
      </c>
      <c r="B187" s="2" t="n">
        <v>45971</v>
      </c>
      <c r="C187" s="3" t="s">
        <v>17</v>
      </c>
      <c r="D187" s="3" t="s">
        <v>88</v>
      </c>
      <c r="E187" s="3" t="s">
        <v>93</v>
      </c>
      <c r="F187" s="0" t="n">
        <v>2</v>
      </c>
      <c r="G187" s="0" t="n">
        <v>799</v>
      </c>
      <c r="H187" s="0" t="n">
        <v>0</v>
      </c>
      <c r="I187" s="3" t="s">
        <v>63</v>
      </c>
      <c r="J187" s="0" t="n">
        <v>5</v>
      </c>
      <c r="K187" s="3" t="s">
        <v>43</v>
      </c>
      <c r="L187" s="0" t="str">
        <f aca="false">VLOOKUP(D187,Products!$A$2:$D$13,2,FALSE())</f>
        <v>Accessories</v>
      </c>
      <c r="M187" s="3" t="n">
        <f aca="false">F187*G187*(1-H187/100)</f>
        <v>1598</v>
      </c>
      <c r="N187" s="0" t="str">
        <f aca="false">VLOOKUP(I187,Customers!$A$2:$D$121,3,FALSE())</f>
        <v>Indore</v>
      </c>
      <c r="O187" s="0" t="str">
        <f aca="false">VLOOKUP(I187,Customers!$A$2:$D$121,4,FALSE())</f>
        <v>Student</v>
      </c>
      <c r="P187" s="0" t="str">
        <f aca="false">TEXT(B187,"yyyy-mm")</f>
        <v>2025-11</v>
      </c>
    </row>
    <row r="188" customFormat="false" ht="15" hidden="false" customHeight="false" outlineLevel="0" collapsed="false">
      <c r="A188" s="0" t="s">
        <v>332</v>
      </c>
      <c r="B188" s="2" t="n">
        <v>46111</v>
      </c>
      <c r="C188" s="3" t="s">
        <v>51</v>
      </c>
      <c r="D188" s="3" t="s">
        <v>116</v>
      </c>
      <c r="E188" s="3" t="s">
        <v>83</v>
      </c>
      <c r="F188" s="0" t="n">
        <v>1</v>
      </c>
      <c r="G188" s="0" t="n">
        <v>699</v>
      </c>
      <c r="H188" s="0" t="n">
        <v>15</v>
      </c>
      <c r="I188" s="3" t="s">
        <v>322</v>
      </c>
      <c r="J188" s="0" t="n">
        <v>3</v>
      </c>
      <c r="K188" s="3" t="s">
        <v>21</v>
      </c>
      <c r="L188" s="0" t="str">
        <f aca="false">VLOOKUP(D188,Products!$A$2:$D$13,2,FALSE())</f>
        <v>Home</v>
      </c>
      <c r="M188" s="3" t="n">
        <f aca="false">F188*G188*(1-H188/100)</f>
        <v>594.15</v>
      </c>
      <c r="N188" s="0" t="str">
        <f aca="false">VLOOKUP(I188,Customers!$A$2:$D$121,3,FALSE())</f>
        <v>Kolkata</v>
      </c>
      <c r="O188" s="0" t="str">
        <f aca="false">VLOOKUP(I188,Customers!$A$2:$D$121,4,FALSE())</f>
        <v>Retail</v>
      </c>
      <c r="P188" s="0" t="str">
        <f aca="false">TEXT(B188,"yyyy-mm")</f>
        <v>2026-03</v>
      </c>
    </row>
    <row r="189" customFormat="false" ht="15" hidden="false" customHeight="false" outlineLevel="0" collapsed="false">
      <c r="A189" s="0" t="s">
        <v>333</v>
      </c>
      <c r="B189" s="2" t="n">
        <v>46064</v>
      </c>
      <c r="C189" s="3" t="s">
        <v>36</v>
      </c>
      <c r="D189" s="3" t="s">
        <v>41</v>
      </c>
      <c r="E189" s="3" t="s">
        <v>69</v>
      </c>
      <c r="F189" s="0" t="n">
        <v>1</v>
      </c>
      <c r="G189" s="0" t="n">
        <v>399</v>
      </c>
      <c r="H189" s="0" t="n">
        <v>5</v>
      </c>
      <c r="I189" s="3" t="s">
        <v>125</v>
      </c>
      <c r="J189" s="0" t="n">
        <v>4</v>
      </c>
      <c r="K189" s="3" t="s">
        <v>21</v>
      </c>
      <c r="L189" s="0" t="str">
        <f aca="false">VLOOKUP(D189,Products!$A$2:$D$13,2,FALSE())</f>
        <v>Electronics</v>
      </c>
      <c r="M189" s="3" t="n">
        <f aca="false">F189*G189*(1-H189/100)</f>
        <v>379.05</v>
      </c>
      <c r="N189" s="0" t="str">
        <f aca="false">VLOOKUP(I189,Customers!$A$2:$D$121,3,FALSE())</f>
        <v>Lucknow</v>
      </c>
      <c r="O189" s="0" t="str">
        <f aca="false">VLOOKUP(I189,Customers!$A$2:$D$121,4,FALSE())</f>
        <v>Student</v>
      </c>
      <c r="P189" s="0" t="str">
        <f aca="false">TEXT(B189,"yyyy-mm")</f>
        <v>2026-02</v>
      </c>
    </row>
    <row r="190" customFormat="false" ht="15" hidden="false" customHeight="false" outlineLevel="0" collapsed="false">
      <c r="A190" s="0" t="s">
        <v>334</v>
      </c>
      <c r="B190" s="2" t="n">
        <v>45872</v>
      </c>
      <c r="C190" s="3" t="s">
        <v>17</v>
      </c>
      <c r="D190" s="3" t="s">
        <v>88</v>
      </c>
      <c r="E190" s="3" t="s">
        <v>19</v>
      </c>
      <c r="F190" s="0" t="n">
        <v>4</v>
      </c>
      <c r="G190" s="0" t="n">
        <v>799</v>
      </c>
      <c r="H190" s="0" t="n">
        <v>5</v>
      </c>
      <c r="I190" s="3" t="s">
        <v>335</v>
      </c>
      <c r="J190" s="0" t="n">
        <v>4</v>
      </c>
      <c r="K190" s="3" t="s">
        <v>43</v>
      </c>
      <c r="L190" s="0" t="str">
        <f aca="false">VLOOKUP(D190,Products!$A$2:$D$13,2,FALSE())</f>
        <v>Accessories</v>
      </c>
      <c r="M190" s="3" t="n">
        <f aca="false">F190*G190*(1-H190/100)</f>
        <v>3036.2</v>
      </c>
      <c r="N190" s="0" t="str">
        <f aca="false">VLOOKUP(I190,Customers!$A$2:$D$121,3,FALSE())</f>
        <v>Bhopal</v>
      </c>
      <c r="O190" s="0" t="str">
        <f aca="false">VLOOKUP(I190,Customers!$A$2:$D$121,4,FALSE())</f>
        <v>Retail</v>
      </c>
      <c r="P190" s="0" t="str">
        <f aca="false">TEXT(B190,"yyyy-mm")</f>
        <v>2025-08</v>
      </c>
    </row>
    <row r="191" customFormat="false" ht="15" hidden="false" customHeight="false" outlineLevel="0" collapsed="false">
      <c r="A191" s="0" t="s">
        <v>336</v>
      </c>
      <c r="B191" s="2" t="n">
        <v>45861</v>
      </c>
      <c r="C191" s="3" t="s">
        <v>72</v>
      </c>
      <c r="D191" s="3" t="s">
        <v>37</v>
      </c>
      <c r="E191" s="3" t="s">
        <v>89</v>
      </c>
      <c r="F191" s="0" t="n">
        <v>4</v>
      </c>
      <c r="G191" s="0" t="n">
        <v>500</v>
      </c>
      <c r="H191" s="0" t="n">
        <v>0</v>
      </c>
      <c r="I191" s="3" t="s">
        <v>337</v>
      </c>
      <c r="J191" s="0" t="n">
        <v>3</v>
      </c>
      <c r="K191" s="3" t="s">
        <v>26</v>
      </c>
      <c r="L191" s="0" t="str">
        <f aca="false">VLOOKUP(D191,Products!$A$2:$D$13,2,FALSE())</f>
        <v>Electronics</v>
      </c>
      <c r="M191" s="3" t="n">
        <f aca="false">F191*G191*(1-H191/100)</f>
        <v>2000</v>
      </c>
      <c r="N191" s="0" t="str">
        <f aca="false">VLOOKUP(I191,Customers!$A$2:$D$121,3,FALSE())</f>
        <v>Lucknow</v>
      </c>
      <c r="O191" s="0" t="str">
        <f aca="false">VLOOKUP(I191,Customers!$A$2:$D$121,4,FALSE())</f>
        <v>Student</v>
      </c>
      <c r="P191" s="0" t="str">
        <f aca="false">TEXT(B191,"yyyy-mm")</f>
        <v>2025-07</v>
      </c>
    </row>
    <row r="192" customFormat="false" ht="15" hidden="false" customHeight="false" outlineLevel="0" collapsed="false">
      <c r="A192" s="0" t="s">
        <v>338</v>
      </c>
      <c r="B192" s="2" t="n">
        <v>46078</v>
      </c>
      <c r="C192" s="3" t="s">
        <v>72</v>
      </c>
      <c r="D192" s="3" t="s">
        <v>41</v>
      </c>
      <c r="E192" s="3" t="s">
        <v>73</v>
      </c>
      <c r="F192" s="0" t="n">
        <v>2</v>
      </c>
      <c r="G192" s="0" t="n">
        <v>399</v>
      </c>
      <c r="H192" s="0" t="n">
        <v>0</v>
      </c>
      <c r="I192" s="3" t="s">
        <v>81</v>
      </c>
      <c r="J192" s="0" t="n">
        <v>2</v>
      </c>
      <c r="K192" s="3" t="s">
        <v>26</v>
      </c>
      <c r="L192" s="0" t="str">
        <f aca="false">VLOOKUP(D192,Products!$A$2:$D$13,2,FALSE())</f>
        <v>Electronics</v>
      </c>
      <c r="M192" s="3" t="n">
        <f aca="false">F192*G192*(1-H192/100)</f>
        <v>798</v>
      </c>
      <c r="N192" s="0" t="str">
        <f aca="false">VLOOKUP(I192,Customers!$A$2:$D$121,3,FALSE())</f>
        <v>Pune</v>
      </c>
      <c r="O192" s="0" t="str">
        <f aca="false">VLOOKUP(I192,Customers!$A$2:$D$121,4,FALSE())</f>
        <v>Corporate</v>
      </c>
      <c r="P192" s="0" t="str">
        <f aca="false">TEXT(B192,"yyyy-mm")</f>
        <v>2026-02</v>
      </c>
    </row>
    <row r="193" customFormat="false" ht="15" hidden="false" customHeight="false" outlineLevel="0" collapsed="false">
      <c r="A193" s="0" t="s">
        <v>339</v>
      </c>
      <c r="B193" s="2" t="n">
        <v>45826</v>
      </c>
      <c r="C193" s="3" t="s">
        <v>23</v>
      </c>
      <c r="D193" s="3" t="s">
        <v>108</v>
      </c>
      <c r="E193" s="3" t="s">
        <v>29</v>
      </c>
      <c r="F193" s="0" t="n">
        <v>1</v>
      </c>
      <c r="G193" s="0" t="n">
        <v>180</v>
      </c>
      <c r="H193" s="0" t="n">
        <v>15</v>
      </c>
      <c r="I193" s="3" t="s">
        <v>225</v>
      </c>
      <c r="J193" s="0" t="n">
        <v>3</v>
      </c>
      <c r="K193" s="3" t="s">
        <v>43</v>
      </c>
      <c r="L193" s="0" t="str">
        <f aca="false">VLOOKUP(D193,Products!$A$2:$D$13,2,FALSE())</f>
        <v>Stationery</v>
      </c>
      <c r="M193" s="3" t="n">
        <f aca="false">F193*G193*(1-H193/100)</f>
        <v>153</v>
      </c>
      <c r="N193" s="0" t="str">
        <f aca="false">VLOOKUP(I193,Customers!$A$2:$D$121,3,FALSE())</f>
        <v>Bhopal</v>
      </c>
      <c r="O193" s="0" t="str">
        <f aca="false">VLOOKUP(I193,Customers!$A$2:$D$121,4,FALSE())</f>
        <v>Retail</v>
      </c>
      <c r="P193" s="0" t="str">
        <f aca="false">TEXT(B193,"yyyy-mm")</f>
        <v>2025-06</v>
      </c>
    </row>
    <row r="194" customFormat="false" ht="15" hidden="false" customHeight="false" outlineLevel="0" collapsed="false">
      <c r="A194" s="0" t="s">
        <v>340</v>
      </c>
      <c r="B194" s="2" t="n">
        <v>45977</v>
      </c>
      <c r="C194" s="3" t="s">
        <v>23</v>
      </c>
      <c r="D194" s="3" t="s">
        <v>116</v>
      </c>
      <c r="E194" s="3" t="s">
        <v>29</v>
      </c>
      <c r="F194" s="0" t="n">
        <v>1</v>
      </c>
      <c r="G194" s="0" t="n">
        <v>699</v>
      </c>
      <c r="H194" s="0" t="n">
        <v>15</v>
      </c>
      <c r="I194" s="3" t="s">
        <v>110</v>
      </c>
      <c r="J194" s="0" t="n">
        <v>5</v>
      </c>
      <c r="K194" s="3" t="s">
        <v>34</v>
      </c>
      <c r="L194" s="0" t="str">
        <f aca="false">VLOOKUP(D194,Products!$A$2:$D$13,2,FALSE())</f>
        <v>Home</v>
      </c>
      <c r="M194" s="3" t="n">
        <f aca="false">F194*G194*(1-H194/100)</f>
        <v>594.15</v>
      </c>
      <c r="N194" s="0" t="str">
        <f aca="false">VLOOKUP(I194,Customers!$A$2:$D$121,3,FALSE())</f>
        <v>Pune</v>
      </c>
      <c r="O194" s="0" t="str">
        <f aca="false">VLOOKUP(I194,Customers!$A$2:$D$121,4,FALSE())</f>
        <v>Retail</v>
      </c>
      <c r="P194" s="0" t="str">
        <f aca="false">TEXT(B194,"yyyy-mm")</f>
        <v>2025-11</v>
      </c>
    </row>
    <row r="195" customFormat="false" ht="15" hidden="false" customHeight="false" outlineLevel="0" collapsed="false">
      <c r="A195" s="0" t="s">
        <v>341</v>
      </c>
      <c r="B195" s="2" t="n">
        <v>45785</v>
      </c>
      <c r="C195" s="3" t="s">
        <v>23</v>
      </c>
      <c r="D195" s="3" t="s">
        <v>41</v>
      </c>
      <c r="E195" s="3" t="s">
        <v>24</v>
      </c>
      <c r="F195" s="0" t="n">
        <v>4</v>
      </c>
      <c r="G195" s="0" t="n">
        <v>399</v>
      </c>
      <c r="H195" s="0" t="n">
        <v>0</v>
      </c>
      <c r="I195" s="3" t="s">
        <v>163</v>
      </c>
      <c r="J195" s="0" t="n">
        <v>4</v>
      </c>
      <c r="K195" s="3" t="s">
        <v>34</v>
      </c>
      <c r="L195" s="0" t="str">
        <f aca="false">VLOOKUP(D195,Products!$A$2:$D$13,2,FALSE())</f>
        <v>Electronics</v>
      </c>
      <c r="M195" s="3" t="n">
        <f aca="false">F195*G195*(1-H195/100)</f>
        <v>1596</v>
      </c>
      <c r="N195" s="0" t="str">
        <f aca="false">VLOOKUP(I195,Customers!$A$2:$D$121,3,FALSE())</f>
        <v>Kolkata</v>
      </c>
      <c r="O195" s="0" t="str">
        <f aca="false">VLOOKUP(I195,Customers!$A$2:$D$121,4,FALSE())</f>
        <v>Student</v>
      </c>
      <c r="P195" s="0" t="str">
        <f aca="false">TEXT(B195,"yyyy-mm")</f>
        <v>2025-05</v>
      </c>
    </row>
    <row r="196" customFormat="false" ht="15" hidden="false" customHeight="false" outlineLevel="0" collapsed="false">
      <c r="A196" s="0" t="s">
        <v>342</v>
      </c>
      <c r="B196" s="2" t="n">
        <v>46078</v>
      </c>
      <c r="C196" s="3" t="s">
        <v>17</v>
      </c>
      <c r="D196" s="3" t="s">
        <v>37</v>
      </c>
      <c r="E196" s="3" t="s">
        <v>93</v>
      </c>
      <c r="F196" s="0" t="n">
        <v>4</v>
      </c>
      <c r="G196" s="0" t="n">
        <v>500</v>
      </c>
      <c r="H196" s="0" t="n">
        <v>0</v>
      </c>
      <c r="I196" s="3" t="s">
        <v>198</v>
      </c>
      <c r="J196" s="0" t="n">
        <v>4</v>
      </c>
      <c r="K196" s="3" t="s">
        <v>43</v>
      </c>
      <c r="L196" s="0" t="str">
        <f aca="false">VLOOKUP(D196,Products!$A$2:$D$13,2,FALSE())</f>
        <v>Electronics</v>
      </c>
      <c r="M196" s="3" t="n">
        <f aca="false">F196*G196*(1-H196/100)</f>
        <v>2000</v>
      </c>
      <c r="N196" s="0" t="str">
        <f aca="false">VLOOKUP(I196,Customers!$A$2:$D$121,3,FALSE())</f>
        <v>Bhopal</v>
      </c>
      <c r="O196" s="0" t="str">
        <f aca="false">VLOOKUP(I196,Customers!$A$2:$D$121,4,FALSE())</f>
        <v>Student</v>
      </c>
      <c r="P196" s="0" t="str">
        <f aca="false">TEXT(B196,"yyyy-mm")</f>
        <v>2026-02</v>
      </c>
    </row>
    <row r="197" customFormat="false" ht="15" hidden="false" customHeight="false" outlineLevel="0" collapsed="false">
      <c r="A197" s="0" t="s">
        <v>343</v>
      </c>
      <c r="B197" s="2" t="n">
        <v>45769</v>
      </c>
      <c r="C197" s="3" t="s">
        <v>23</v>
      </c>
      <c r="D197" s="3" t="s">
        <v>116</v>
      </c>
      <c r="E197" s="3" t="s">
        <v>24</v>
      </c>
      <c r="F197" s="0" t="n">
        <v>3</v>
      </c>
      <c r="G197" s="0" t="n">
        <v>699</v>
      </c>
      <c r="H197" s="0" t="n">
        <v>5</v>
      </c>
      <c r="I197" s="3" t="s">
        <v>280</v>
      </c>
      <c r="J197" s="0" t="n">
        <v>5</v>
      </c>
      <c r="K197" s="3" t="s">
        <v>34</v>
      </c>
      <c r="L197" s="0" t="str">
        <f aca="false">VLOOKUP(D197,Products!$A$2:$D$13,2,FALSE())</f>
        <v>Home</v>
      </c>
      <c r="M197" s="3" t="n">
        <f aca="false">F197*G197*(1-H197/100)</f>
        <v>1992.15</v>
      </c>
      <c r="N197" s="0" t="str">
        <f aca="false">VLOOKUP(I197,Customers!$A$2:$D$121,3,FALSE())</f>
        <v>Kolkata</v>
      </c>
      <c r="O197" s="0" t="str">
        <f aca="false">VLOOKUP(I197,Customers!$A$2:$D$121,4,FALSE())</f>
        <v>Corporate</v>
      </c>
      <c r="P197" s="0" t="str">
        <f aca="false">TEXT(B197,"yyyy-mm")</f>
        <v>2025-04</v>
      </c>
    </row>
    <row r="198" customFormat="false" ht="15" hidden="false" customHeight="false" outlineLevel="0" collapsed="false">
      <c r="A198" s="0" t="s">
        <v>344</v>
      </c>
      <c r="B198" s="2" t="n">
        <v>46004</v>
      </c>
      <c r="C198" s="3" t="s">
        <v>51</v>
      </c>
      <c r="D198" s="3" t="s">
        <v>116</v>
      </c>
      <c r="E198" s="3" t="s">
        <v>83</v>
      </c>
      <c r="F198" s="0" t="n">
        <v>2</v>
      </c>
      <c r="G198" s="0" t="n">
        <v>699</v>
      </c>
      <c r="H198" s="0" t="n">
        <v>0</v>
      </c>
      <c r="I198" s="3" t="s">
        <v>313</v>
      </c>
      <c r="J198" s="0" t="n">
        <v>4</v>
      </c>
      <c r="K198" s="3" t="s">
        <v>21</v>
      </c>
      <c r="L198" s="0" t="str">
        <f aca="false">VLOOKUP(D198,Products!$A$2:$D$13,2,FALSE())</f>
        <v>Home</v>
      </c>
      <c r="M198" s="3" t="n">
        <f aca="false">F198*G198*(1-H198/100)</f>
        <v>1398</v>
      </c>
      <c r="N198" s="0" t="str">
        <f aca="false">VLOOKUP(I198,Customers!$A$2:$D$121,3,FALSE())</f>
        <v>Kolkata</v>
      </c>
      <c r="O198" s="0" t="str">
        <f aca="false">VLOOKUP(I198,Customers!$A$2:$D$121,4,FALSE())</f>
        <v>Student</v>
      </c>
      <c r="P198" s="0" t="str">
        <f aca="false">TEXT(B198,"yyyy-mm")</f>
        <v>2025-12</v>
      </c>
    </row>
    <row r="199" customFormat="false" ht="15" hidden="false" customHeight="false" outlineLevel="0" collapsed="false">
      <c r="A199" s="0" t="s">
        <v>345</v>
      </c>
      <c r="B199" s="2" t="n">
        <v>45768</v>
      </c>
      <c r="C199" s="3" t="s">
        <v>36</v>
      </c>
      <c r="D199" s="3" t="s">
        <v>57</v>
      </c>
      <c r="E199" s="3" t="s">
        <v>69</v>
      </c>
      <c r="F199" s="0" t="n">
        <v>1</v>
      </c>
      <c r="G199" s="0" t="n">
        <v>549</v>
      </c>
      <c r="H199" s="0" t="n">
        <v>0</v>
      </c>
      <c r="I199" s="3" t="s">
        <v>346</v>
      </c>
      <c r="J199" s="0" t="n">
        <v>4</v>
      </c>
      <c r="K199" s="3" t="s">
        <v>26</v>
      </c>
      <c r="L199" s="0" t="str">
        <f aca="false">VLOOKUP(D199,Products!$A$2:$D$13,2,FALSE())</f>
        <v>Accessories</v>
      </c>
      <c r="M199" s="3" t="n">
        <f aca="false">F199*G199*(1-H199/100)</f>
        <v>549</v>
      </c>
      <c r="N199" s="0" t="str">
        <f aca="false">VLOOKUP(I199,Customers!$A$2:$D$121,3,FALSE())</f>
        <v>Delhi</v>
      </c>
      <c r="O199" s="0" t="str">
        <f aca="false">VLOOKUP(I199,Customers!$A$2:$D$121,4,FALSE())</f>
        <v>Student</v>
      </c>
      <c r="P199" s="0" t="str">
        <f aca="false">TEXT(B199,"yyyy-mm")</f>
        <v>2025-04</v>
      </c>
    </row>
    <row r="200" customFormat="false" ht="15" hidden="false" customHeight="false" outlineLevel="0" collapsed="false">
      <c r="A200" s="0" t="s">
        <v>347</v>
      </c>
      <c r="B200" s="2" t="n">
        <v>45892</v>
      </c>
      <c r="C200" s="3" t="s">
        <v>72</v>
      </c>
      <c r="D200" s="3" t="s">
        <v>41</v>
      </c>
      <c r="E200" s="3" t="s">
        <v>89</v>
      </c>
      <c r="F200" s="0" t="n">
        <v>1</v>
      </c>
      <c r="G200" s="0" t="n">
        <v>399</v>
      </c>
      <c r="H200" s="0" t="n">
        <v>5</v>
      </c>
      <c r="I200" s="3" t="s">
        <v>237</v>
      </c>
      <c r="J200" s="0" t="n">
        <v>5</v>
      </c>
      <c r="K200" s="3" t="s">
        <v>34</v>
      </c>
      <c r="L200" s="0" t="str">
        <f aca="false">VLOOKUP(D200,Products!$A$2:$D$13,2,FALSE())</f>
        <v>Electronics</v>
      </c>
      <c r="M200" s="3" t="n">
        <f aca="false">F200*G200*(1-H200/100)</f>
        <v>379.05</v>
      </c>
      <c r="N200" s="0" t="str">
        <f aca="false">VLOOKUP(I200,Customers!$A$2:$D$121,3,FALSE())</f>
        <v>Jaipur</v>
      </c>
      <c r="O200" s="0" t="str">
        <f aca="false">VLOOKUP(I200,Customers!$A$2:$D$121,4,FALSE())</f>
        <v>Retail</v>
      </c>
      <c r="P200" s="0" t="str">
        <f aca="false">TEXT(B200,"yyyy-mm")</f>
        <v>2025-08</v>
      </c>
    </row>
    <row r="201" customFormat="false" ht="15" hidden="false" customHeight="false" outlineLevel="0" collapsed="false">
      <c r="A201" s="0" t="s">
        <v>348</v>
      </c>
      <c r="B201" s="2" t="n">
        <v>45796</v>
      </c>
      <c r="C201" s="3" t="s">
        <v>72</v>
      </c>
      <c r="D201" s="3" t="s">
        <v>45</v>
      </c>
      <c r="E201" s="3" t="s">
        <v>73</v>
      </c>
      <c r="F201" s="0" t="n">
        <v>4</v>
      </c>
      <c r="G201" s="0" t="n">
        <v>30</v>
      </c>
      <c r="H201" s="0" t="n">
        <v>10</v>
      </c>
      <c r="I201" s="3" t="s">
        <v>152</v>
      </c>
      <c r="J201" s="0" t="n">
        <v>4</v>
      </c>
      <c r="K201" s="3" t="s">
        <v>26</v>
      </c>
      <c r="L201" s="0" t="str">
        <f aca="false">VLOOKUP(D201,Products!$A$2:$D$13,2,FALSE())</f>
        <v>Stationery</v>
      </c>
      <c r="M201" s="3" t="n">
        <f aca="false">F201*G201*(1-H201/100)</f>
        <v>108</v>
      </c>
      <c r="N201" s="0" t="str">
        <f aca="false">VLOOKUP(I201,Customers!$A$2:$D$121,3,FALSE())</f>
        <v>Bhopal</v>
      </c>
      <c r="O201" s="0" t="str">
        <f aca="false">VLOOKUP(I201,Customers!$A$2:$D$121,4,FALSE())</f>
        <v>Corporate</v>
      </c>
      <c r="P201" s="0" t="str">
        <f aca="false">TEXT(B201,"yyyy-mm")</f>
        <v>2025-05</v>
      </c>
    </row>
    <row r="202" customFormat="false" ht="15" hidden="false" customHeight="false" outlineLevel="0" collapsed="false">
      <c r="A202" s="0" t="s">
        <v>349</v>
      </c>
      <c r="B202" s="2" t="n">
        <v>46046</v>
      </c>
      <c r="C202" s="3" t="s">
        <v>17</v>
      </c>
      <c r="D202" s="3" t="s">
        <v>41</v>
      </c>
      <c r="E202" s="3" t="s">
        <v>93</v>
      </c>
      <c r="F202" s="0" t="n">
        <v>2</v>
      </c>
      <c r="G202" s="0" t="n">
        <v>399</v>
      </c>
      <c r="H202" s="0" t="n">
        <v>15</v>
      </c>
      <c r="I202" s="3" t="s">
        <v>258</v>
      </c>
      <c r="J202" s="0" t="n">
        <v>5</v>
      </c>
      <c r="K202" s="3" t="s">
        <v>43</v>
      </c>
      <c r="L202" s="0" t="str">
        <f aca="false">VLOOKUP(D202,Products!$A$2:$D$13,2,FALSE())</f>
        <v>Electronics</v>
      </c>
      <c r="M202" s="3" t="n">
        <f aca="false">F202*G202*(1-H202/100)</f>
        <v>678.3</v>
      </c>
      <c r="N202" s="0" t="str">
        <f aca="false">VLOOKUP(I202,Customers!$A$2:$D$121,3,FALSE())</f>
        <v>Kolkata</v>
      </c>
      <c r="O202" s="0" t="str">
        <f aca="false">VLOOKUP(I202,Customers!$A$2:$D$121,4,FALSE())</f>
        <v>Student</v>
      </c>
      <c r="P202" s="0" t="str">
        <f aca="false">TEXT(B202,"yyyy-mm")</f>
        <v>2026-01</v>
      </c>
    </row>
    <row r="203" customFormat="false" ht="15" hidden="false" customHeight="false" outlineLevel="0" collapsed="false">
      <c r="A203" s="0" t="s">
        <v>350</v>
      </c>
      <c r="B203" s="2" t="n">
        <v>46110</v>
      </c>
      <c r="C203" s="3" t="s">
        <v>23</v>
      </c>
      <c r="D203" s="3" t="s">
        <v>108</v>
      </c>
      <c r="E203" s="3" t="s">
        <v>29</v>
      </c>
      <c r="F203" s="0" t="n">
        <v>1</v>
      </c>
      <c r="G203" s="0" t="n">
        <v>180</v>
      </c>
      <c r="H203" s="0" t="n">
        <v>0</v>
      </c>
      <c r="I203" s="3" t="s">
        <v>351</v>
      </c>
      <c r="J203" s="0" t="n">
        <v>4</v>
      </c>
      <c r="K203" s="3" t="s">
        <v>26</v>
      </c>
      <c r="L203" s="0" t="str">
        <f aca="false">VLOOKUP(D203,Products!$A$2:$D$13,2,FALSE())</f>
        <v>Stationery</v>
      </c>
      <c r="M203" s="3" t="n">
        <f aca="false">F203*G203*(1-H203/100)</f>
        <v>180</v>
      </c>
      <c r="N203" s="0" t="str">
        <f aca="false">VLOOKUP(I203,Customers!$A$2:$D$121,3,FALSE())</f>
        <v>Nagpur</v>
      </c>
      <c r="O203" s="0" t="str">
        <f aca="false">VLOOKUP(I203,Customers!$A$2:$D$121,4,FALSE())</f>
        <v>Student</v>
      </c>
      <c r="P203" s="0" t="str">
        <f aca="false">TEXT(B203,"yyyy-mm")</f>
        <v>2026-03</v>
      </c>
    </row>
    <row r="204" customFormat="false" ht="15" hidden="false" customHeight="false" outlineLevel="0" collapsed="false">
      <c r="A204" s="0" t="s">
        <v>352</v>
      </c>
      <c r="B204" s="2" t="n">
        <v>45840</v>
      </c>
      <c r="C204" s="3" t="s">
        <v>72</v>
      </c>
      <c r="D204" s="3" t="s">
        <v>41</v>
      </c>
      <c r="E204" s="3" t="s">
        <v>73</v>
      </c>
      <c r="F204" s="0" t="n">
        <v>2</v>
      </c>
      <c r="G204" s="0" t="n">
        <v>399</v>
      </c>
      <c r="H204" s="0" t="n">
        <v>0</v>
      </c>
      <c r="I204" s="3" t="s">
        <v>309</v>
      </c>
      <c r="J204" s="0" t="n">
        <v>5</v>
      </c>
      <c r="K204" s="3" t="s">
        <v>26</v>
      </c>
      <c r="L204" s="0" t="str">
        <f aca="false">VLOOKUP(D204,Products!$A$2:$D$13,2,FALSE())</f>
        <v>Electronics</v>
      </c>
      <c r="M204" s="3" t="n">
        <f aca="false">F204*G204*(1-H204/100)</f>
        <v>798</v>
      </c>
      <c r="N204" s="0" t="str">
        <f aca="false">VLOOKUP(I204,Customers!$A$2:$D$121,3,FALSE())</f>
        <v>Delhi</v>
      </c>
      <c r="O204" s="0" t="str">
        <f aca="false">VLOOKUP(I204,Customers!$A$2:$D$121,4,FALSE())</f>
        <v>Student</v>
      </c>
      <c r="P204" s="0" t="str">
        <f aca="false">TEXT(B204,"yyyy-mm")</f>
        <v>2025-07</v>
      </c>
    </row>
    <row r="205" customFormat="false" ht="15" hidden="false" customHeight="false" outlineLevel="0" collapsed="false">
      <c r="A205" s="0" t="s">
        <v>353</v>
      </c>
      <c r="B205" s="2" t="n">
        <v>45827</v>
      </c>
      <c r="C205" s="3" t="s">
        <v>36</v>
      </c>
      <c r="D205" s="3" t="s">
        <v>28</v>
      </c>
      <c r="E205" s="3" t="s">
        <v>38</v>
      </c>
      <c r="F205" s="0" t="n">
        <v>1</v>
      </c>
      <c r="G205" s="0" t="n">
        <v>450</v>
      </c>
      <c r="H205" s="0" t="n">
        <v>0</v>
      </c>
      <c r="I205" s="3" t="s">
        <v>246</v>
      </c>
      <c r="J205" s="0" t="n">
        <v>5</v>
      </c>
      <c r="K205" s="3" t="s">
        <v>21</v>
      </c>
      <c r="L205" s="0" t="str">
        <f aca="false">VLOOKUP(D205,Products!$A$2:$D$13,2,FALSE())</f>
        <v>Electronics</v>
      </c>
      <c r="M205" s="3" t="n">
        <f aca="false">F205*G205*(1-H205/100)</f>
        <v>450</v>
      </c>
      <c r="N205" s="0" t="str">
        <f aca="false">VLOOKUP(I205,Customers!$A$2:$D$121,3,FALSE())</f>
        <v>Pune</v>
      </c>
      <c r="O205" s="0" t="str">
        <f aca="false">VLOOKUP(I205,Customers!$A$2:$D$121,4,FALSE())</f>
        <v>Student</v>
      </c>
      <c r="P205" s="0" t="str">
        <f aca="false">TEXT(B205,"yyyy-mm")</f>
        <v>2025-06</v>
      </c>
    </row>
    <row r="206" customFormat="false" ht="15" hidden="false" customHeight="false" outlineLevel="0" collapsed="false">
      <c r="A206" s="0" t="s">
        <v>354</v>
      </c>
      <c r="B206" s="2" t="n">
        <v>46064</v>
      </c>
      <c r="C206" s="3" t="s">
        <v>72</v>
      </c>
      <c r="D206" s="3" t="s">
        <v>18</v>
      </c>
      <c r="E206" s="3" t="s">
        <v>89</v>
      </c>
      <c r="F206" s="0" t="n">
        <v>1</v>
      </c>
      <c r="G206" s="0" t="n">
        <v>349</v>
      </c>
      <c r="H206" s="0" t="n">
        <v>0</v>
      </c>
      <c r="I206" s="3" t="s">
        <v>70</v>
      </c>
      <c r="J206" s="0" t="n">
        <v>4</v>
      </c>
      <c r="K206" s="3" t="s">
        <v>26</v>
      </c>
      <c r="L206" s="0" t="str">
        <f aca="false">VLOOKUP(D206,Products!$A$2:$D$13,2,FALSE())</f>
        <v>Home</v>
      </c>
      <c r="M206" s="3" t="n">
        <f aca="false">F206*G206*(1-H206/100)</f>
        <v>349</v>
      </c>
      <c r="N206" s="0" t="str">
        <f aca="false">VLOOKUP(I206,Customers!$A$2:$D$121,3,FALSE())</f>
        <v>Bhopal</v>
      </c>
      <c r="O206" s="0" t="str">
        <f aca="false">VLOOKUP(I206,Customers!$A$2:$D$121,4,FALSE())</f>
        <v>Retail</v>
      </c>
      <c r="P206" s="0" t="str">
        <f aca="false">TEXT(B206,"yyyy-mm")</f>
        <v>2026-02</v>
      </c>
    </row>
    <row r="207" customFormat="false" ht="15" hidden="false" customHeight="false" outlineLevel="0" collapsed="false">
      <c r="A207" s="0" t="s">
        <v>355</v>
      </c>
      <c r="B207" s="2" t="n">
        <v>45832</v>
      </c>
      <c r="C207" s="3" t="s">
        <v>23</v>
      </c>
      <c r="D207" s="3" t="s">
        <v>48</v>
      </c>
      <c r="E207" s="3" t="s">
        <v>29</v>
      </c>
      <c r="F207" s="0" t="n">
        <v>2</v>
      </c>
      <c r="G207" s="0" t="n">
        <v>199</v>
      </c>
      <c r="H207" s="0" t="n">
        <v>15</v>
      </c>
      <c r="I207" s="3" t="s">
        <v>271</v>
      </c>
      <c r="J207" s="0" t="n">
        <v>1</v>
      </c>
      <c r="K207" s="3" t="s">
        <v>26</v>
      </c>
      <c r="L207" s="0" t="str">
        <f aca="false">VLOOKUP(D207,Products!$A$2:$D$13,2,FALSE())</f>
        <v>Home</v>
      </c>
      <c r="M207" s="3" t="n">
        <f aca="false">F207*G207*(1-H207/100)</f>
        <v>338.3</v>
      </c>
      <c r="N207" s="0" t="str">
        <f aca="false">VLOOKUP(I207,Customers!$A$2:$D$121,3,FALSE())</f>
        <v>Jaipur</v>
      </c>
      <c r="O207" s="0" t="str">
        <f aca="false">VLOOKUP(I207,Customers!$A$2:$D$121,4,FALSE())</f>
        <v>Retail</v>
      </c>
      <c r="P207" s="0" t="str">
        <f aca="false">TEXT(B207,"yyyy-mm")</f>
        <v>2025-06</v>
      </c>
    </row>
    <row r="208" customFormat="false" ht="15" hidden="false" customHeight="false" outlineLevel="0" collapsed="false">
      <c r="A208" s="0" t="s">
        <v>356</v>
      </c>
      <c r="B208" s="2" t="n">
        <v>45893</v>
      </c>
      <c r="C208" s="3" t="s">
        <v>23</v>
      </c>
      <c r="D208" s="3" t="s">
        <v>32</v>
      </c>
      <c r="E208" s="3" t="s">
        <v>24</v>
      </c>
      <c r="F208" s="0" t="n">
        <v>2</v>
      </c>
      <c r="G208" s="0" t="n">
        <v>249</v>
      </c>
      <c r="H208" s="0" t="n">
        <v>15</v>
      </c>
      <c r="I208" s="3" t="s">
        <v>139</v>
      </c>
      <c r="J208" s="0" t="n">
        <v>4</v>
      </c>
      <c r="K208" s="3" t="s">
        <v>34</v>
      </c>
      <c r="L208" s="0" t="str">
        <f aca="false">VLOOKUP(D208,Products!$A$2:$D$13,2,FALSE())</f>
        <v>Accessories</v>
      </c>
      <c r="M208" s="3" t="n">
        <f aca="false">F208*G208*(1-H208/100)</f>
        <v>423.3</v>
      </c>
      <c r="N208" s="0" t="str">
        <f aca="false">VLOOKUP(I208,Customers!$A$2:$D$121,3,FALSE())</f>
        <v>Mumbai</v>
      </c>
      <c r="O208" s="0" t="str">
        <f aca="false">VLOOKUP(I208,Customers!$A$2:$D$121,4,FALSE())</f>
        <v>Student</v>
      </c>
      <c r="P208" s="0" t="str">
        <f aca="false">TEXT(B208,"yyyy-mm")</f>
        <v>2025-08</v>
      </c>
    </row>
    <row r="209" customFormat="false" ht="15" hidden="false" customHeight="false" outlineLevel="0" collapsed="false">
      <c r="A209" s="0" t="s">
        <v>357</v>
      </c>
      <c r="B209" s="2" t="n">
        <v>45936</v>
      </c>
      <c r="C209" s="3" t="s">
        <v>36</v>
      </c>
      <c r="D209" s="3" t="s">
        <v>32</v>
      </c>
      <c r="E209" s="3" t="s">
        <v>69</v>
      </c>
      <c r="F209" s="0" t="n">
        <v>2</v>
      </c>
      <c r="G209" s="0" t="n">
        <v>249</v>
      </c>
      <c r="H209" s="0" t="n">
        <v>15</v>
      </c>
      <c r="I209" s="3" t="s">
        <v>254</v>
      </c>
      <c r="J209" s="0" t="n">
        <v>5</v>
      </c>
      <c r="K209" s="3" t="s">
        <v>34</v>
      </c>
      <c r="L209" s="0" t="str">
        <f aca="false">VLOOKUP(D209,Products!$A$2:$D$13,2,FALSE())</f>
        <v>Accessories</v>
      </c>
      <c r="M209" s="3" t="n">
        <f aca="false">F209*G209*(1-H209/100)</f>
        <v>423.3</v>
      </c>
      <c r="N209" s="0" t="str">
        <f aca="false">VLOOKUP(I209,Customers!$A$2:$D$121,3,FALSE())</f>
        <v>Pune</v>
      </c>
      <c r="O209" s="0" t="str">
        <f aca="false">VLOOKUP(I209,Customers!$A$2:$D$121,4,FALSE())</f>
        <v>Student</v>
      </c>
      <c r="P209" s="0" t="str">
        <f aca="false">TEXT(B209,"yyyy-mm")</f>
        <v>2025-10</v>
      </c>
    </row>
    <row r="210" customFormat="false" ht="15" hidden="false" customHeight="false" outlineLevel="0" collapsed="false">
      <c r="A210" s="0" t="s">
        <v>358</v>
      </c>
      <c r="B210" s="2" t="n">
        <v>46018</v>
      </c>
      <c r="C210" s="3" t="s">
        <v>23</v>
      </c>
      <c r="D210" s="3" t="s">
        <v>88</v>
      </c>
      <c r="E210" s="3" t="s">
        <v>24</v>
      </c>
      <c r="F210" s="0" t="n">
        <v>1</v>
      </c>
      <c r="G210" s="0" t="n">
        <v>799</v>
      </c>
      <c r="H210" s="0" t="n">
        <v>5</v>
      </c>
      <c r="I210" s="3" t="s">
        <v>359</v>
      </c>
      <c r="J210" s="0" t="n">
        <v>5</v>
      </c>
      <c r="K210" s="3" t="s">
        <v>34</v>
      </c>
      <c r="L210" s="0" t="str">
        <f aca="false">VLOOKUP(D210,Products!$A$2:$D$13,2,FALSE())</f>
        <v>Accessories</v>
      </c>
      <c r="M210" s="3" t="n">
        <f aca="false">F210*G210*(1-H210/100)</f>
        <v>759.05</v>
      </c>
      <c r="N210" s="0" t="str">
        <f aca="false">VLOOKUP(I210,Customers!$A$2:$D$121,3,FALSE())</f>
        <v>Mumbai</v>
      </c>
      <c r="O210" s="0" t="str">
        <f aca="false">VLOOKUP(I210,Customers!$A$2:$D$121,4,FALSE())</f>
        <v>Retail</v>
      </c>
      <c r="P210" s="0" t="str">
        <f aca="false">TEXT(B210,"yyyy-mm")</f>
        <v>2025-12</v>
      </c>
    </row>
    <row r="211" customFormat="false" ht="15" hidden="false" customHeight="false" outlineLevel="0" collapsed="false">
      <c r="A211" s="0" t="s">
        <v>360</v>
      </c>
      <c r="B211" s="2" t="n">
        <v>45938</v>
      </c>
      <c r="C211" s="3" t="s">
        <v>51</v>
      </c>
      <c r="D211" s="3" t="s">
        <v>60</v>
      </c>
      <c r="E211" s="3" t="s">
        <v>52</v>
      </c>
      <c r="F211" s="0" t="n">
        <v>3</v>
      </c>
      <c r="G211" s="0" t="n">
        <v>40</v>
      </c>
      <c r="H211" s="0" t="n">
        <v>10</v>
      </c>
      <c r="I211" s="3" t="s">
        <v>249</v>
      </c>
      <c r="J211" s="0" t="n">
        <v>2</v>
      </c>
      <c r="K211" s="3" t="s">
        <v>34</v>
      </c>
      <c r="L211" s="0" t="str">
        <f aca="false">VLOOKUP(D211,Products!$A$2:$D$13,2,FALSE())</f>
        <v>Stationery</v>
      </c>
      <c r="M211" s="3" t="n">
        <f aca="false">F211*G211*(1-H211/100)</f>
        <v>108</v>
      </c>
      <c r="N211" s="0" t="str">
        <f aca="false">VLOOKUP(I211,Customers!$A$2:$D$121,3,FALSE())</f>
        <v>Jaipur</v>
      </c>
      <c r="O211" s="0" t="str">
        <f aca="false">VLOOKUP(I211,Customers!$A$2:$D$121,4,FALSE())</f>
        <v>Retail</v>
      </c>
      <c r="P211" s="0" t="str">
        <f aca="false">TEXT(B211,"yyyy-mm")</f>
        <v>2025-10</v>
      </c>
    </row>
    <row r="212" customFormat="false" ht="15" hidden="false" customHeight="false" outlineLevel="0" collapsed="false">
      <c r="A212" s="0" t="s">
        <v>361</v>
      </c>
      <c r="B212" s="2" t="n">
        <v>45887</v>
      </c>
      <c r="C212" s="3" t="s">
        <v>36</v>
      </c>
      <c r="D212" s="3" t="s">
        <v>45</v>
      </c>
      <c r="E212" s="3" t="s">
        <v>69</v>
      </c>
      <c r="F212" s="0" t="n">
        <v>1</v>
      </c>
      <c r="G212" s="0" t="n">
        <v>30</v>
      </c>
      <c r="H212" s="0" t="n">
        <v>5</v>
      </c>
      <c r="I212" s="3" t="s">
        <v>94</v>
      </c>
      <c r="J212" s="0" t="n">
        <v>4</v>
      </c>
      <c r="K212" s="3" t="s">
        <v>21</v>
      </c>
      <c r="L212" s="0" t="str">
        <f aca="false">VLOOKUP(D212,Products!$A$2:$D$13,2,FALSE())</f>
        <v>Stationery</v>
      </c>
      <c r="M212" s="3" t="n">
        <f aca="false">F212*G212*(1-H212/100)</f>
        <v>28.5</v>
      </c>
      <c r="N212" s="0" t="str">
        <f aca="false">VLOOKUP(I212,Customers!$A$2:$D$121,3,FALSE())</f>
        <v>Chennai</v>
      </c>
      <c r="O212" s="0" t="str">
        <f aca="false">VLOOKUP(I212,Customers!$A$2:$D$121,4,FALSE())</f>
        <v>Corporate</v>
      </c>
      <c r="P212" s="0" t="str">
        <f aca="false">TEXT(B212,"yyyy-mm")</f>
        <v>2025-08</v>
      </c>
    </row>
    <row r="213" customFormat="false" ht="15" hidden="false" customHeight="false" outlineLevel="0" collapsed="false">
      <c r="A213" s="0" t="s">
        <v>362</v>
      </c>
      <c r="B213" s="2" t="n">
        <v>45926</v>
      </c>
      <c r="C213" s="3" t="s">
        <v>51</v>
      </c>
      <c r="D213" s="3" t="s">
        <v>28</v>
      </c>
      <c r="E213" s="3" t="s">
        <v>83</v>
      </c>
      <c r="F213" s="0" t="n">
        <v>1</v>
      </c>
      <c r="G213" s="0" t="n">
        <v>450</v>
      </c>
      <c r="H213" s="0" t="n">
        <v>0</v>
      </c>
      <c r="I213" s="3" t="s">
        <v>322</v>
      </c>
      <c r="J213" s="0" t="n">
        <v>2</v>
      </c>
      <c r="K213" s="3" t="s">
        <v>26</v>
      </c>
      <c r="L213" s="0" t="str">
        <f aca="false">VLOOKUP(D213,Products!$A$2:$D$13,2,FALSE())</f>
        <v>Electronics</v>
      </c>
      <c r="M213" s="3" t="n">
        <f aca="false">F213*G213*(1-H213/100)</f>
        <v>450</v>
      </c>
      <c r="N213" s="0" t="str">
        <f aca="false">VLOOKUP(I213,Customers!$A$2:$D$121,3,FALSE())</f>
        <v>Kolkata</v>
      </c>
      <c r="O213" s="0" t="str">
        <f aca="false">VLOOKUP(I213,Customers!$A$2:$D$121,4,FALSE())</f>
        <v>Retail</v>
      </c>
      <c r="P213" s="0" t="str">
        <f aca="false">TEXT(B213,"yyyy-mm")</f>
        <v>2025-09</v>
      </c>
    </row>
    <row r="214" customFormat="false" ht="15" hidden="false" customHeight="false" outlineLevel="0" collapsed="false">
      <c r="A214" s="0" t="s">
        <v>363</v>
      </c>
      <c r="B214" s="2" t="n">
        <v>45939</v>
      </c>
      <c r="C214" s="3" t="s">
        <v>17</v>
      </c>
      <c r="D214" s="3" t="s">
        <v>88</v>
      </c>
      <c r="E214" s="3" t="s">
        <v>19</v>
      </c>
      <c r="F214" s="0" t="n">
        <v>3</v>
      </c>
      <c r="G214" s="0" t="n">
        <v>799</v>
      </c>
      <c r="H214" s="0" t="n">
        <v>0</v>
      </c>
      <c r="I214" s="3" t="s">
        <v>137</v>
      </c>
      <c r="J214" s="0" t="n">
        <v>3</v>
      </c>
      <c r="K214" s="3" t="s">
        <v>34</v>
      </c>
      <c r="L214" s="0" t="str">
        <f aca="false">VLOOKUP(D214,Products!$A$2:$D$13,2,FALSE())</f>
        <v>Accessories</v>
      </c>
      <c r="M214" s="3" t="n">
        <f aca="false">F214*G214*(1-H214/100)</f>
        <v>2397</v>
      </c>
      <c r="N214" s="0" t="str">
        <f aca="false">VLOOKUP(I214,Customers!$A$2:$D$121,3,FALSE())</f>
        <v>Mumbai</v>
      </c>
      <c r="O214" s="0" t="str">
        <f aca="false">VLOOKUP(I214,Customers!$A$2:$D$121,4,FALSE())</f>
        <v>Corporate</v>
      </c>
      <c r="P214" s="0" t="str">
        <f aca="false">TEXT(B214,"yyyy-mm")</f>
        <v>2025-10</v>
      </c>
    </row>
    <row r="215" customFormat="false" ht="15" hidden="false" customHeight="false" outlineLevel="0" collapsed="false">
      <c r="A215" s="0" t="s">
        <v>364</v>
      </c>
      <c r="B215" s="2" t="n">
        <v>45767</v>
      </c>
      <c r="C215" s="3" t="s">
        <v>36</v>
      </c>
      <c r="D215" s="3" t="s">
        <v>108</v>
      </c>
      <c r="E215" s="3" t="s">
        <v>38</v>
      </c>
      <c r="F215" s="0" t="n">
        <v>2</v>
      </c>
      <c r="G215" s="0" t="n">
        <v>180</v>
      </c>
      <c r="H215" s="0" t="n">
        <v>0</v>
      </c>
      <c r="I215" s="3" t="s">
        <v>79</v>
      </c>
      <c r="J215" s="0" t="n">
        <v>5</v>
      </c>
      <c r="K215" s="3" t="s">
        <v>43</v>
      </c>
      <c r="L215" s="0" t="str">
        <f aca="false">VLOOKUP(D215,Products!$A$2:$D$13,2,FALSE())</f>
        <v>Stationery</v>
      </c>
      <c r="M215" s="3" t="n">
        <f aca="false">F215*G215*(1-H215/100)</f>
        <v>360</v>
      </c>
      <c r="N215" s="0" t="str">
        <f aca="false">VLOOKUP(I215,Customers!$A$2:$D$121,3,FALSE())</f>
        <v>Bhopal</v>
      </c>
      <c r="O215" s="0" t="str">
        <f aca="false">VLOOKUP(I215,Customers!$A$2:$D$121,4,FALSE())</f>
        <v>Retail</v>
      </c>
      <c r="P215" s="0" t="str">
        <f aca="false">TEXT(B215,"yyyy-mm")</f>
        <v>2025-04</v>
      </c>
    </row>
    <row r="216" customFormat="false" ht="15" hidden="false" customHeight="false" outlineLevel="0" collapsed="false">
      <c r="A216" s="0" t="s">
        <v>365</v>
      </c>
      <c r="B216" s="2" t="n">
        <v>45750</v>
      </c>
      <c r="C216" s="3" t="s">
        <v>23</v>
      </c>
      <c r="D216" s="3" t="s">
        <v>32</v>
      </c>
      <c r="E216" s="3" t="s">
        <v>24</v>
      </c>
      <c r="F216" s="0" t="n">
        <v>4</v>
      </c>
      <c r="G216" s="0" t="n">
        <v>249</v>
      </c>
      <c r="H216" s="0" t="n">
        <v>0</v>
      </c>
      <c r="I216" s="3" t="s">
        <v>172</v>
      </c>
      <c r="J216" s="0" t="n">
        <v>3</v>
      </c>
      <c r="K216" s="3" t="s">
        <v>43</v>
      </c>
      <c r="L216" s="0" t="str">
        <f aca="false">VLOOKUP(D216,Products!$A$2:$D$13,2,FALSE())</f>
        <v>Accessories</v>
      </c>
      <c r="M216" s="3" t="n">
        <f aca="false">F216*G216*(1-H216/100)</f>
        <v>996</v>
      </c>
      <c r="N216" s="0" t="str">
        <f aca="false">VLOOKUP(I216,Customers!$A$2:$D$121,3,FALSE())</f>
        <v>Delhi</v>
      </c>
      <c r="O216" s="0" t="str">
        <f aca="false">VLOOKUP(I216,Customers!$A$2:$D$121,4,FALSE())</f>
        <v>Retail</v>
      </c>
      <c r="P216" s="0" t="str">
        <f aca="false">TEXT(B216,"yyyy-mm")</f>
        <v>2025-04</v>
      </c>
    </row>
    <row r="217" customFormat="false" ht="15" hidden="false" customHeight="false" outlineLevel="0" collapsed="false">
      <c r="A217" s="0" t="s">
        <v>366</v>
      </c>
      <c r="B217" s="2" t="n">
        <v>45869</v>
      </c>
      <c r="C217" s="3" t="s">
        <v>72</v>
      </c>
      <c r="D217" s="3" t="s">
        <v>45</v>
      </c>
      <c r="E217" s="3" t="s">
        <v>73</v>
      </c>
      <c r="F217" s="0" t="n">
        <v>2</v>
      </c>
      <c r="G217" s="0" t="n">
        <v>30</v>
      </c>
      <c r="H217" s="0" t="n">
        <v>0</v>
      </c>
      <c r="I217" s="3" t="s">
        <v>243</v>
      </c>
      <c r="J217" s="0" t="n">
        <v>1</v>
      </c>
      <c r="K217" s="3" t="s">
        <v>43</v>
      </c>
      <c r="L217" s="0" t="str">
        <f aca="false">VLOOKUP(D217,Products!$A$2:$D$13,2,FALSE())</f>
        <v>Stationery</v>
      </c>
      <c r="M217" s="3" t="n">
        <f aca="false">F217*G217*(1-H217/100)</f>
        <v>60</v>
      </c>
      <c r="N217" s="0" t="str">
        <f aca="false">VLOOKUP(I217,Customers!$A$2:$D$121,3,FALSE())</f>
        <v>Jaipur</v>
      </c>
      <c r="O217" s="0" t="str">
        <f aca="false">VLOOKUP(I217,Customers!$A$2:$D$121,4,FALSE())</f>
        <v>Corporate</v>
      </c>
      <c r="P217" s="0" t="str">
        <f aca="false">TEXT(B217,"yyyy-mm")</f>
        <v>2025-07</v>
      </c>
    </row>
    <row r="218" customFormat="false" ht="15" hidden="false" customHeight="false" outlineLevel="0" collapsed="false">
      <c r="A218" s="0" t="s">
        <v>367</v>
      </c>
      <c r="B218" s="2" t="n">
        <v>46003</v>
      </c>
      <c r="C218" s="3" t="s">
        <v>17</v>
      </c>
      <c r="D218" s="3" t="s">
        <v>45</v>
      </c>
      <c r="E218" s="3" t="s">
        <v>19</v>
      </c>
      <c r="F218" s="0" t="n">
        <v>2</v>
      </c>
      <c r="G218" s="0" t="n">
        <v>30</v>
      </c>
      <c r="H218" s="0" t="n">
        <v>10</v>
      </c>
      <c r="I218" s="3" t="s">
        <v>286</v>
      </c>
      <c r="J218" s="0" t="n">
        <v>1</v>
      </c>
      <c r="K218" s="3" t="s">
        <v>26</v>
      </c>
      <c r="L218" s="0" t="str">
        <f aca="false">VLOOKUP(D218,Products!$A$2:$D$13,2,FALSE())</f>
        <v>Stationery</v>
      </c>
      <c r="M218" s="3" t="n">
        <f aca="false">F218*G218*(1-H218/100)</f>
        <v>54</v>
      </c>
      <c r="N218" s="0" t="str">
        <f aca="false">VLOOKUP(I218,Customers!$A$2:$D$121,3,FALSE())</f>
        <v>Pune</v>
      </c>
      <c r="O218" s="0" t="str">
        <f aca="false">VLOOKUP(I218,Customers!$A$2:$D$121,4,FALSE())</f>
        <v>Corporate</v>
      </c>
      <c r="P218" s="0" t="str">
        <f aca="false">TEXT(B218,"yyyy-mm")</f>
        <v>2025-12</v>
      </c>
    </row>
    <row r="219" customFormat="false" ht="15" hidden="false" customHeight="false" outlineLevel="0" collapsed="false">
      <c r="A219" s="0" t="s">
        <v>368</v>
      </c>
      <c r="B219" s="2" t="n">
        <v>45748</v>
      </c>
      <c r="C219" s="3" t="s">
        <v>51</v>
      </c>
      <c r="D219" s="3" t="s">
        <v>37</v>
      </c>
      <c r="E219" s="3" t="s">
        <v>83</v>
      </c>
      <c r="F219" s="0" t="n">
        <v>1</v>
      </c>
      <c r="G219" s="0" t="n">
        <v>500</v>
      </c>
      <c r="H219" s="0" t="n">
        <v>10</v>
      </c>
      <c r="I219" s="3" t="s">
        <v>135</v>
      </c>
      <c r="J219" s="0" t="n">
        <v>3</v>
      </c>
      <c r="K219" s="3" t="s">
        <v>26</v>
      </c>
      <c r="L219" s="0" t="str">
        <f aca="false">VLOOKUP(D219,Products!$A$2:$D$13,2,FALSE())</f>
        <v>Electronics</v>
      </c>
      <c r="M219" s="3" t="n">
        <f aca="false">F219*G219*(1-H219/100)</f>
        <v>450</v>
      </c>
      <c r="N219" s="0" t="str">
        <f aca="false">VLOOKUP(I219,Customers!$A$2:$D$121,3,FALSE())</f>
        <v>Jaipur</v>
      </c>
      <c r="O219" s="0" t="str">
        <f aca="false">VLOOKUP(I219,Customers!$A$2:$D$121,4,FALSE())</f>
        <v>Corporate</v>
      </c>
      <c r="P219" s="0" t="str">
        <f aca="false">TEXT(B219,"yyyy-mm")</f>
        <v>2025-04</v>
      </c>
    </row>
    <row r="220" customFormat="false" ht="15" hidden="false" customHeight="false" outlineLevel="0" collapsed="false">
      <c r="A220" s="0" t="s">
        <v>369</v>
      </c>
      <c r="B220" s="2" t="n">
        <v>46016</v>
      </c>
      <c r="C220" s="3" t="s">
        <v>17</v>
      </c>
      <c r="D220" s="3" t="s">
        <v>18</v>
      </c>
      <c r="E220" s="3" t="s">
        <v>19</v>
      </c>
      <c r="F220" s="0" t="n">
        <v>1</v>
      </c>
      <c r="G220" s="0" t="n">
        <v>349</v>
      </c>
      <c r="H220" s="0" t="n">
        <v>0</v>
      </c>
      <c r="I220" s="3" t="s">
        <v>191</v>
      </c>
      <c r="J220" s="0" t="n">
        <v>5</v>
      </c>
      <c r="K220" s="3" t="s">
        <v>43</v>
      </c>
      <c r="L220" s="0" t="str">
        <f aca="false">VLOOKUP(D220,Products!$A$2:$D$13,2,FALSE())</f>
        <v>Home</v>
      </c>
      <c r="M220" s="3" t="n">
        <f aca="false">F220*G220*(1-H220/100)</f>
        <v>349</v>
      </c>
      <c r="N220" s="0" t="str">
        <f aca="false">VLOOKUP(I220,Customers!$A$2:$D$121,3,FALSE())</f>
        <v>Lucknow</v>
      </c>
      <c r="O220" s="0" t="str">
        <f aca="false">VLOOKUP(I220,Customers!$A$2:$D$121,4,FALSE())</f>
        <v>Student</v>
      </c>
      <c r="P220" s="0" t="str">
        <f aca="false">TEXT(B220,"yyyy-mm")</f>
        <v>2025-12</v>
      </c>
    </row>
    <row r="221" customFormat="false" ht="15" hidden="false" customHeight="false" outlineLevel="0" collapsed="false">
      <c r="A221" s="0" t="s">
        <v>370</v>
      </c>
      <c r="B221" s="2" t="n">
        <v>46073</v>
      </c>
      <c r="C221" s="3" t="s">
        <v>17</v>
      </c>
      <c r="D221" s="3" t="s">
        <v>32</v>
      </c>
      <c r="E221" s="3" t="s">
        <v>19</v>
      </c>
      <c r="F221" s="0" t="n">
        <v>1</v>
      </c>
      <c r="G221" s="0" t="n">
        <v>249</v>
      </c>
      <c r="H221" s="0" t="n">
        <v>5</v>
      </c>
      <c r="I221" s="3" t="s">
        <v>317</v>
      </c>
      <c r="J221" s="0" t="n">
        <v>3</v>
      </c>
      <c r="K221" s="3" t="s">
        <v>34</v>
      </c>
      <c r="L221" s="0" t="str">
        <f aca="false">VLOOKUP(D221,Products!$A$2:$D$13,2,FALSE())</f>
        <v>Accessories</v>
      </c>
      <c r="M221" s="3" t="n">
        <f aca="false">F221*G221*(1-H221/100)</f>
        <v>236.55</v>
      </c>
      <c r="N221" s="0" t="str">
        <f aca="false">VLOOKUP(I221,Customers!$A$2:$D$121,3,FALSE())</f>
        <v>Jaipur</v>
      </c>
      <c r="O221" s="0" t="str">
        <f aca="false">VLOOKUP(I221,Customers!$A$2:$D$121,4,FALSE())</f>
        <v>Student</v>
      </c>
      <c r="P221" s="0" t="str">
        <f aca="false">TEXT(B221,"yyyy-mm")</f>
        <v>2026-02</v>
      </c>
    </row>
    <row r="222" customFormat="false" ht="15" hidden="false" customHeight="false" outlineLevel="0" collapsed="false">
      <c r="A222" s="0" t="s">
        <v>371</v>
      </c>
      <c r="B222" s="2" t="n">
        <v>45871</v>
      </c>
      <c r="C222" s="3" t="s">
        <v>72</v>
      </c>
      <c r="D222" s="3" t="s">
        <v>45</v>
      </c>
      <c r="E222" s="3" t="s">
        <v>73</v>
      </c>
      <c r="F222" s="0" t="n">
        <v>1</v>
      </c>
      <c r="G222" s="0" t="n">
        <v>30</v>
      </c>
      <c r="H222" s="0" t="n">
        <v>15</v>
      </c>
      <c r="I222" s="3" t="s">
        <v>251</v>
      </c>
      <c r="J222" s="0" t="n">
        <v>4</v>
      </c>
      <c r="K222" s="3" t="s">
        <v>26</v>
      </c>
      <c r="L222" s="0" t="str">
        <f aca="false">VLOOKUP(D222,Products!$A$2:$D$13,2,FALSE())</f>
        <v>Stationery</v>
      </c>
      <c r="M222" s="3" t="n">
        <f aca="false">F222*G222*(1-H222/100)</f>
        <v>25.5</v>
      </c>
      <c r="N222" s="0" t="str">
        <f aca="false">VLOOKUP(I222,Customers!$A$2:$D$121,3,FALSE())</f>
        <v>Indore</v>
      </c>
      <c r="O222" s="0" t="str">
        <f aca="false">VLOOKUP(I222,Customers!$A$2:$D$121,4,FALSE())</f>
        <v>Student</v>
      </c>
      <c r="P222" s="0" t="str">
        <f aca="false">TEXT(B222,"yyyy-mm")</f>
        <v>2025-08</v>
      </c>
    </row>
    <row r="223" customFormat="false" ht="15" hidden="false" customHeight="false" outlineLevel="0" collapsed="false">
      <c r="A223" s="0" t="s">
        <v>372</v>
      </c>
      <c r="B223" s="2" t="n">
        <v>46027</v>
      </c>
      <c r="C223" s="3" t="s">
        <v>72</v>
      </c>
      <c r="D223" s="3" t="s">
        <v>60</v>
      </c>
      <c r="E223" s="3" t="s">
        <v>73</v>
      </c>
      <c r="F223" s="0" t="n">
        <v>7</v>
      </c>
      <c r="G223" s="0" t="n">
        <v>40</v>
      </c>
      <c r="H223" s="0" t="n">
        <v>0</v>
      </c>
      <c r="I223" s="3" t="s">
        <v>373</v>
      </c>
      <c r="J223" s="0" t="n">
        <v>4</v>
      </c>
      <c r="K223" s="3" t="s">
        <v>43</v>
      </c>
      <c r="L223" s="0" t="str">
        <f aca="false">VLOOKUP(D223,Products!$A$2:$D$13,2,FALSE())</f>
        <v>Stationery</v>
      </c>
      <c r="M223" s="3" t="n">
        <f aca="false">F223*G223*(1-H223/100)</f>
        <v>280</v>
      </c>
      <c r="N223" s="0" t="str">
        <f aca="false">VLOOKUP(I223,Customers!$A$2:$D$121,3,FALSE())</f>
        <v>Bhopal</v>
      </c>
      <c r="O223" s="0" t="str">
        <f aca="false">VLOOKUP(I223,Customers!$A$2:$D$121,4,FALSE())</f>
        <v>Corporate</v>
      </c>
      <c r="P223" s="0" t="str">
        <f aca="false">TEXT(B223,"yyyy-mm")</f>
        <v>2026-01</v>
      </c>
    </row>
    <row r="224" customFormat="false" ht="15" hidden="false" customHeight="false" outlineLevel="0" collapsed="false">
      <c r="A224" s="0" t="s">
        <v>374</v>
      </c>
      <c r="B224" s="2" t="n">
        <v>45817</v>
      </c>
      <c r="C224" s="3" t="s">
        <v>36</v>
      </c>
      <c r="D224" s="3" t="s">
        <v>18</v>
      </c>
      <c r="E224" s="3" t="s">
        <v>69</v>
      </c>
      <c r="F224" s="0" t="n">
        <v>1</v>
      </c>
      <c r="G224" s="0" t="n">
        <v>349</v>
      </c>
      <c r="H224" s="0" t="n">
        <v>0</v>
      </c>
      <c r="I224" s="3" t="s">
        <v>375</v>
      </c>
      <c r="J224" s="0" t="n">
        <v>5</v>
      </c>
      <c r="K224" s="3" t="s">
        <v>21</v>
      </c>
      <c r="L224" s="0" t="str">
        <f aca="false">VLOOKUP(D224,Products!$A$2:$D$13,2,FALSE())</f>
        <v>Home</v>
      </c>
      <c r="M224" s="3" t="n">
        <f aca="false">F224*G224*(1-H224/100)</f>
        <v>349</v>
      </c>
      <c r="N224" s="0" t="str">
        <f aca="false">VLOOKUP(I224,Customers!$A$2:$D$121,3,FALSE())</f>
        <v>Mumbai</v>
      </c>
      <c r="O224" s="0" t="str">
        <f aca="false">VLOOKUP(I224,Customers!$A$2:$D$121,4,FALSE())</f>
        <v>Student</v>
      </c>
      <c r="P224" s="0" t="str">
        <f aca="false">TEXT(B224,"yyyy-mm")</f>
        <v>2025-06</v>
      </c>
    </row>
    <row r="225" customFormat="false" ht="15" hidden="false" customHeight="false" outlineLevel="0" collapsed="false">
      <c r="A225" s="0" t="s">
        <v>376</v>
      </c>
      <c r="B225" s="2" t="n">
        <v>45770</v>
      </c>
      <c r="C225" s="3" t="s">
        <v>36</v>
      </c>
      <c r="D225" s="3" t="s">
        <v>37</v>
      </c>
      <c r="E225" s="3" t="s">
        <v>69</v>
      </c>
      <c r="F225" s="0" t="n">
        <v>4</v>
      </c>
      <c r="G225" s="0" t="n">
        <v>500</v>
      </c>
      <c r="H225" s="0" t="n">
        <v>0</v>
      </c>
      <c r="I225" s="3" t="s">
        <v>231</v>
      </c>
      <c r="J225" s="0" t="n">
        <v>1</v>
      </c>
      <c r="K225" s="3" t="s">
        <v>43</v>
      </c>
      <c r="L225" s="0" t="str">
        <f aca="false">VLOOKUP(D225,Products!$A$2:$D$13,2,FALSE())</f>
        <v>Electronics</v>
      </c>
      <c r="M225" s="3" t="n">
        <f aca="false">F225*G225*(1-H225/100)</f>
        <v>2000</v>
      </c>
      <c r="N225" s="0" t="str">
        <f aca="false">VLOOKUP(I225,Customers!$A$2:$D$121,3,FALSE())</f>
        <v>Pune</v>
      </c>
      <c r="O225" s="0" t="str">
        <f aca="false">VLOOKUP(I225,Customers!$A$2:$D$121,4,FALSE())</f>
        <v>Retail</v>
      </c>
      <c r="P225" s="0" t="str">
        <f aca="false">TEXT(B225,"yyyy-mm")</f>
        <v>2025-04</v>
      </c>
    </row>
    <row r="226" customFormat="false" ht="15" hidden="false" customHeight="false" outlineLevel="0" collapsed="false">
      <c r="A226" s="0" t="s">
        <v>377</v>
      </c>
      <c r="B226" s="2" t="n">
        <v>45877</v>
      </c>
      <c r="C226" s="3" t="s">
        <v>51</v>
      </c>
      <c r="D226" s="3" t="s">
        <v>57</v>
      </c>
      <c r="E226" s="3" t="s">
        <v>83</v>
      </c>
      <c r="F226" s="0" t="n">
        <v>2</v>
      </c>
      <c r="G226" s="0" t="n">
        <v>549</v>
      </c>
      <c r="H226" s="0" t="n">
        <v>0</v>
      </c>
      <c r="I226" s="3" t="s">
        <v>182</v>
      </c>
      <c r="J226" s="0" t="n">
        <v>4</v>
      </c>
      <c r="K226" s="3" t="s">
        <v>34</v>
      </c>
      <c r="L226" s="0" t="str">
        <f aca="false">VLOOKUP(D226,Products!$A$2:$D$13,2,FALSE())</f>
        <v>Accessories</v>
      </c>
      <c r="M226" s="3" t="n">
        <f aca="false">F226*G226*(1-H226/100)</f>
        <v>1098</v>
      </c>
      <c r="N226" s="0" t="str">
        <f aca="false">VLOOKUP(I226,Customers!$A$2:$D$121,3,FALSE())</f>
        <v>Pune</v>
      </c>
      <c r="O226" s="0" t="str">
        <f aca="false">VLOOKUP(I226,Customers!$A$2:$D$121,4,FALSE())</f>
        <v>Corporate</v>
      </c>
      <c r="P226" s="0" t="str">
        <f aca="false">TEXT(B226,"yyyy-mm")</f>
        <v>2025-08</v>
      </c>
    </row>
    <row r="227" customFormat="false" ht="15" hidden="false" customHeight="false" outlineLevel="0" collapsed="false">
      <c r="A227" s="0" t="s">
        <v>378</v>
      </c>
      <c r="B227" s="2" t="n">
        <v>45887</v>
      </c>
      <c r="C227" s="3" t="s">
        <v>72</v>
      </c>
      <c r="D227" s="3" t="s">
        <v>60</v>
      </c>
      <c r="E227" s="3" t="s">
        <v>73</v>
      </c>
      <c r="F227" s="0" t="n">
        <v>3</v>
      </c>
      <c r="G227" s="0" t="n">
        <v>40</v>
      </c>
      <c r="H227" s="0" t="n">
        <v>0</v>
      </c>
      <c r="I227" s="3" t="s">
        <v>379</v>
      </c>
      <c r="J227" s="0" t="n">
        <v>4</v>
      </c>
      <c r="K227" s="3" t="s">
        <v>43</v>
      </c>
      <c r="L227" s="0" t="str">
        <f aca="false">VLOOKUP(D227,Products!$A$2:$D$13,2,FALSE())</f>
        <v>Stationery</v>
      </c>
      <c r="M227" s="3" t="n">
        <f aca="false">F227*G227*(1-H227/100)</f>
        <v>120</v>
      </c>
      <c r="N227" s="0" t="str">
        <f aca="false">VLOOKUP(I227,Customers!$A$2:$D$121,3,FALSE())</f>
        <v>Kolkata</v>
      </c>
      <c r="O227" s="0" t="str">
        <f aca="false">VLOOKUP(I227,Customers!$A$2:$D$121,4,FALSE())</f>
        <v>Student</v>
      </c>
      <c r="P227" s="0" t="str">
        <f aca="false">TEXT(B227,"yyyy-mm")</f>
        <v>2025-08</v>
      </c>
    </row>
    <row r="228" customFormat="false" ht="15" hidden="false" customHeight="false" outlineLevel="0" collapsed="false">
      <c r="A228" s="0" t="s">
        <v>380</v>
      </c>
      <c r="B228" s="2" t="n">
        <v>45843</v>
      </c>
      <c r="C228" s="3" t="s">
        <v>72</v>
      </c>
      <c r="D228" s="3" t="s">
        <v>88</v>
      </c>
      <c r="E228" s="3" t="s">
        <v>73</v>
      </c>
      <c r="F228" s="0" t="n">
        <v>2</v>
      </c>
      <c r="G228" s="0" t="n">
        <v>799</v>
      </c>
      <c r="H228" s="0" t="n">
        <v>5</v>
      </c>
      <c r="I228" s="3" t="s">
        <v>161</v>
      </c>
      <c r="J228" s="0" t="n">
        <v>4</v>
      </c>
      <c r="K228" s="3" t="s">
        <v>21</v>
      </c>
      <c r="L228" s="0" t="str">
        <f aca="false">VLOOKUP(D228,Products!$A$2:$D$13,2,FALSE())</f>
        <v>Accessories</v>
      </c>
      <c r="M228" s="3" t="n">
        <f aca="false">F228*G228*(1-H228/100)</f>
        <v>1518.1</v>
      </c>
      <c r="N228" s="0" t="str">
        <f aca="false">VLOOKUP(I228,Customers!$A$2:$D$121,3,FALSE())</f>
        <v>Lucknow</v>
      </c>
      <c r="O228" s="0" t="str">
        <f aca="false">VLOOKUP(I228,Customers!$A$2:$D$121,4,FALSE())</f>
        <v>Corporate</v>
      </c>
      <c r="P228" s="0" t="str">
        <f aca="false">TEXT(B228,"yyyy-mm")</f>
        <v>2025-07</v>
      </c>
    </row>
    <row r="229" customFormat="false" ht="15" hidden="false" customHeight="false" outlineLevel="0" collapsed="false">
      <c r="A229" s="0" t="s">
        <v>381</v>
      </c>
      <c r="B229" s="2" t="n">
        <v>45788</v>
      </c>
      <c r="C229" s="3" t="s">
        <v>51</v>
      </c>
      <c r="D229" s="3" t="s">
        <v>48</v>
      </c>
      <c r="E229" s="3" t="s">
        <v>52</v>
      </c>
      <c r="F229" s="0" t="n">
        <v>2</v>
      </c>
      <c r="G229" s="0" t="n">
        <v>199</v>
      </c>
      <c r="H229" s="0" t="n">
        <v>5</v>
      </c>
      <c r="I229" s="3" t="s">
        <v>185</v>
      </c>
      <c r="J229" s="0" t="n">
        <v>5</v>
      </c>
      <c r="K229" s="3" t="s">
        <v>34</v>
      </c>
      <c r="L229" s="0" t="str">
        <f aca="false">VLOOKUP(D229,Products!$A$2:$D$13,2,FALSE())</f>
        <v>Home</v>
      </c>
      <c r="M229" s="3" t="n">
        <f aca="false">F229*G229*(1-H229/100)</f>
        <v>378.1</v>
      </c>
      <c r="N229" s="0" t="str">
        <f aca="false">VLOOKUP(I229,Customers!$A$2:$D$121,3,FALSE())</f>
        <v>Indore</v>
      </c>
      <c r="O229" s="0" t="str">
        <f aca="false">VLOOKUP(I229,Customers!$A$2:$D$121,4,FALSE())</f>
        <v>Corporate</v>
      </c>
      <c r="P229" s="0" t="str">
        <f aca="false">TEXT(B229,"yyyy-mm")</f>
        <v>2025-05</v>
      </c>
    </row>
    <row r="230" customFormat="false" ht="15" hidden="false" customHeight="false" outlineLevel="0" collapsed="false">
      <c r="A230" s="0" t="s">
        <v>382</v>
      </c>
      <c r="B230" s="2" t="n">
        <v>45788</v>
      </c>
      <c r="C230" s="3" t="s">
        <v>17</v>
      </c>
      <c r="D230" s="3" t="s">
        <v>41</v>
      </c>
      <c r="E230" s="3" t="s">
        <v>93</v>
      </c>
      <c r="F230" s="0" t="n">
        <v>2</v>
      </c>
      <c r="G230" s="0" t="n">
        <v>399</v>
      </c>
      <c r="H230" s="0" t="n">
        <v>0</v>
      </c>
      <c r="I230" s="3" t="s">
        <v>251</v>
      </c>
      <c r="J230" s="0" t="n">
        <v>3</v>
      </c>
      <c r="K230" s="3" t="s">
        <v>43</v>
      </c>
      <c r="L230" s="0" t="str">
        <f aca="false">VLOOKUP(D230,Products!$A$2:$D$13,2,FALSE())</f>
        <v>Electronics</v>
      </c>
      <c r="M230" s="3" t="n">
        <f aca="false">F230*G230*(1-H230/100)</f>
        <v>798</v>
      </c>
      <c r="N230" s="0" t="str">
        <f aca="false">VLOOKUP(I230,Customers!$A$2:$D$121,3,FALSE())</f>
        <v>Indore</v>
      </c>
      <c r="O230" s="0" t="str">
        <f aca="false">VLOOKUP(I230,Customers!$A$2:$D$121,4,FALSE())</f>
        <v>Student</v>
      </c>
      <c r="P230" s="0" t="str">
        <f aca="false">TEXT(B230,"yyyy-mm")</f>
        <v>2025-05</v>
      </c>
    </row>
    <row r="231" customFormat="false" ht="15" hidden="false" customHeight="false" outlineLevel="0" collapsed="false">
      <c r="A231" s="0" t="s">
        <v>383</v>
      </c>
      <c r="B231" s="2" t="n">
        <v>45927</v>
      </c>
      <c r="C231" s="3" t="s">
        <v>51</v>
      </c>
      <c r="D231" s="3" t="s">
        <v>108</v>
      </c>
      <c r="E231" s="3" t="s">
        <v>83</v>
      </c>
      <c r="F231" s="0" t="n">
        <v>1</v>
      </c>
      <c r="G231" s="0" t="n">
        <v>180</v>
      </c>
      <c r="H231" s="0" t="n">
        <v>5</v>
      </c>
      <c r="I231" s="3" t="s">
        <v>158</v>
      </c>
      <c r="J231" s="0" t="n">
        <v>4</v>
      </c>
      <c r="K231" s="3" t="s">
        <v>43</v>
      </c>
      <c r="L231" s="0" t="str">
        <f aca="false">VLOOKUP(D231,Products!$A$2:$D$13,2,FALSE())</f>
        <v>Stationery</v>
      </c>
      <c r="M231" s="3" t="n">
        <f aca="false">F231*G231*(1-H231/100)</f>
        <v>171</v>
      </c>
      <c r="N231" s="0" t="str">
        <f aca="false">VLOOKUP(I231,Customers!$A$2:$D$121,3,FALSE())</f>
        <v>Mumbai</v>
      </c>
      <c r="O231" s="0" t="str">
        <f aca="false">VLOOKUP(I231,Customers!$A$2:$D$121,4,FALSE())</f>
        <v>Retail</v>
      </c>
      <c r="P231" s="0" t="str">
        <f aca="false">TEXT(B231,"yyyy-mm")</f>
        <v>2025-09</v>
      </c>
    </row>
    <row r="232" customFormat="false" ht="15" hidden="false" customHeight="false" outlineLevel="0" collapsed="false">
      <c r="A232" s="0" t="s">
        <v>384</v>
      </c>
      <c r="B232" s="2" t="n">
        <v>45786</v>
      </c>
      <c r="C232" s="3" t="s">
        <v>17</v>
      </c>
      <c r="D232" s="3" t="s">
        <v>37</v>
      </c>
      <c r="E232" s="3" t="s">
        <v>19</v>
      </c>
      <c r="F232" s="0" t="n">
        <v>3</v>
      </c>
      <c r="G232" s="0" t="n">
        <v>500</v>
      </c>
      <c r="H232" s="0" t="n">
        <v>15</v>
      </c>
      <c r="I232" s="3" t="s">
        <v>53</v>
      </c>
      <c r="J232" s="0" t="n">
        <v>4</v>
      </c>
      <c r="K232" s="3" t="s">
        <v>21</v>
      </c>
      <c r="L232" s="0" t="str">
        <f aca="false">VLOOKUP(D232,Products!$A$2:$D$13,2,FALSE())</f>
        <v>Electronics</v>
      </c>
      <c r="M232" s="3" t="n">
        <f aca="false">F232*G232*(1-H232/100)</f>
        <v>1275</v>
      </c>
      <c r="N232" s="0" t="str">
        <f aca="false">VLOOKUP(I232,Customers!$A$2:$D$121,3,FALSE())</f>
        <v>Nagpur</v>
      </c>
      <c r="O232" s="0" t="str">
        <f aca="false">VLOOKUP(I232,Customers!$A$2:$D$121,4,FALSE())</f>
        <v>Retail</v>
      </c>
      <c r="P232" s="0" t="str">
        <f aca="false">TEXT(B232,"yyyy-mm")</f>
        <v>2025-05</v>
      </c>
    </row>
    <row r="233" customFormat="false" ht="15" hidden="false" customHeight="false" outlineLevel="0" collapsed="false">
      <c r="A233" s="0" t="s">
        <v>385</v>
      </c>
      <c r="B233" s="2" t="n">
        <v>46095</v>
      </c>
      <c r="C233" s="3" t="s">
        <v>23</v>
      </c>
      <c r="D233" s="3" t="s">
        <v>108</v>
      </c>
      <c r="E233" s="3" t="s">
        <v>24</v>
      </c>
      <c r="F233" s="0" t="n">
        <v>1</v>
      </c>
      <c r="G233" s="0" t="n">
        <v>180</v>
      </c>
      <c r="H233" s="0" t="n">
        <v>5</v>
      </c>
      <c r="I233" s="3" t="s">
        <v>145</v>
      </c>
      <c r="J233" s="0" t="n">
        <v>2</v>
      </c>
      <c r="K233" s="3" t="s">
        <v>34</v>
      </c>
      <c r="L233" s="0" t="str">
        <f aca="false">VLOOKUP(D233,Products!$A$2:$D$13,2,FALSE())</f>
        <v>Stationery</v>
      </c>
      <c r="M233" s="3" t="n">
        <f aca="false">F233*G233*(1-H233/100)</f>
        <v>171</v>
      </c>
      <c r="N233" s="0" t="str">
        <f aca="false">VLOOKUP(I233,Customers!$A$2:$D$121,3,FALSE())</f>
        <v>Bhopal</v>
      </c>
      <c r="O233" s="0" t="str">
        <f aca="false">VLOOKUP(I233,Customers!$A$2:$D$121,4,FALSE())</f>
        <v>Student</v>
      </c>
      <c r="P233" s="0" t="str">
        <f aca="false">TEXT(B233,"yyyy-mm")</f>
        <v>2026-03</v>
      </c>
    </row>
    <row r="234" customFormat="false" ht="15" hidden="false" customHeight="false" outlineLevel="0" collapsed="false">
      <c r="A234" s="0" t="s">
        <v>386</v>
      </c>
      <c r="B234" s="2" t="n">
        <v>46038</v>
      </c>
      <c r="C234" s="3" t="s">
        <v>51</v>
      </c>
      <c r="D234" s="3" t="s">
        <v>41</v>
      </c>
      <c r="E234" s="3" t="s">
        <v>83</v>
      </c>
      <c r="F234" s="0" t="n">
        <v>1</v>
      </c>
      <c r="G234" s="0" t="n">
        <v>399</v>
      </c>
      <c r="H234" s="0" t="n">
        <v>0</v>
      </c>
      <c r="I234" s="3" t="s">
        <v>185</v>
      </c>
      <c r="J234" s="0" t="n">
        <v>3</v>
      </c>
      <c r="K234" s="3" t="s">
        <v>34</v>
      </c>
      <c r="L234" s="0" t="str">
        <f aca="false">VLOOKUP(D234,Products!$A$2:$D$13,2,FALSE())</f>
        <v>Electronics</v>
      </c>
      <c r="M234" s="3" t="n">
        <f aca="false">F234*G234*(1-H234/100)</f>
        <v>399</v>
      </c>
      <c r="N234" s="0" t="str">
        <f aca="false">VLOOKUP(I234,Customers!$A$2:$D$121,3,FALSE())</f>
        <v>Indore</v>
      </c>
      <c r="O234" s="0" t="str">
        <f aca="false">VLOOKUP(I234,Customers!$A$2:$D$121,4,FALSE())</f>
        <v>Corporate</v>
      </c>
      <c r="P234" s="0" t="str">
        <f aca="false">TEXT(B234,"yyyy-mm")</f>
        <v>2026-01</v>
      </c>
    </row>
    <row r="235" customFormat="false" ht="15" hidden="false" customHeight="false" outlineLevel="0" collapsed="false">
      <c r="A235" s="0" t="s">
        <v>387</v>
      </c>
      <c r="B235" s="2" t="n">
        <v>45787</v>
      </c>
      <c r="C235" s="3" t="s">
        <v>51</v>
      </c>
      <c r="D235" s="3" t="s">
        <v>41</v>
      </c>
      <c r="E235" s="3" t="s">
        <v>83</v>
      </c>
      <c r="F235" s="0" t="n">
        <v>2</v>
      </c>
      <c r="G235" s="0" t="n">
        <v>399</v>
      </c>
      <c r="H235" s="0" t="n">
        <v>10</v>
      </c>
      <c r="I235" s="3" t="s">
        <v>291</v>
      </c>
      <c r="J235" s="0" t="n">
        <v>4</v>
      </c>
      <c r="K235" s="3" t="s">
        <v>34</v>
      </c>
      <c r="L235" s="0" t="str">
        <f aca="false">VLOOKUP(D235,Products!$A$2:$D$13,2,FALSE())</f>
        <v>Electronics</v>
      </c>
      <c r="M235" s="3" t="n">
        <f aca="false">F235*G235*(1-H235/100)</f>
        <v>718.2</v>
      </c>
      <c r="N235" s="0" t="str">
        <f aca="false">VLOOKUP(I235,Customers!$A$2:$D$121,3,FALSE())</f>
        <v>Pune</v>
      </c>
      <c r="O235" s="0" t="str">
        <f aca="false">VLOOKUP(I235,Customers!$A$2:$D$121,4,FALSE())</f>
        <v>Retail</v>
      </c>
      <c r="P235" s="0" t="str">
        <f aca="false">TEXT(B235,"yyyy-mm")</f>
        <v>2025-05</v>
      </c>
    </row>
    <row r="236" customFormat="false" ht="15" hidden="false" customHeight="false" outlineLevel="0" collapsed="false">
      <c r="A236" s="0" t="s">
        <v>388</v>
      </c>
      <c r="B236" s="2" t="n">
        <v>45875</v>
      </c>
      <c r="C236" s="3" t="s">
        <v>72</v>
      </c>
      <c r="D236" s="3" t="s">
        <v>18</v>
      </c>
      <c r="E236" s="3" t="s">
        <v>73</v>
      </c>
      <c r="F236" s="0" t="n">
        <v>1</v>
      </c>
      <c r="G236" s="0" t="n">
        <v>349</v>
      </c>
      <c r="H236" s="0" t="n">
        <v>0</v>
      </c>
      <c r="I236" s="3" t="s">
        <v>137</v>
      </c>
      <c r="J236" s="0" t="n">
        <v>5</v>
      </c>
      <c r="K236" s="3" t="s">
        <v>43</v>
      </c>
      <c r="L236" s="0" t="str">
        <f aca="false">VLOOKUP(D236,Products!$A$2:$D$13,2,FALSE())</f>
        <v>Home</v>
      </c>
      <c r="M236" s="3" t="n">
        <f aca="false">F236*G236*(1-H236/100)</f>
        <v>349</v>
      </c>
      <c r="N236" s="0" t="str">
        <f aca="false">VLOOKUP(I236,Customers!$A$2:$D$121,3,FALSE())</f>
        <v>Mumbai</v>
      </c>
      <c r="O236" s="0" t="str">
        <f aca="false">VLOOKUP(I236,Customers!$A$2:$D$121,4,FALSE())</f>
        <v>Corporate</v>
      </c>
      <c r="P236" s="0" t="str">
        <f aca="false">TEXT(B236,"yyyy-mm")</f>
        <v>2025-08</v>
      </c>
    </row>
    <row r="237" customFormat="false" ht="15" hidden="false" customHeight="false" outlineLevel="0" collapsed="false">
      <c r="A237" s="0" t="s">
        <v>389</v>
      </c>
      <c r="B237" s="2" t="n">
        <v>45882</v>
      </c>
      <c r="C237" s="3" t="s">
        <v>17</v>
      </c>
      <c r="D237" s="3" t="s">
        <v>57</v>
      </c>
      <c r="E237" s="3" t="s">
        <v>93</v>
      </c>
      <c r="F237" s="0" t="n">
        <v>5</v>
      </c>
      <c r="G237" s="0" t="n">
        <v>549</v>
      </c>
      <c r="H237" s="0" t="n">
        <v>0</v>
      </c>
      <c r="I237" s="3" t="s">
        <v>346</v>
      </c>
      <c r="J237" s="0" t="n">
        <v>4</v>
      </c>
      <c r="K237" s="3" t="s">
        <v>43</v>
      </c>
      <c r="L237" s="0" t="str">
        <f aca="false">VLOOKUP(D237,Products!$A$2:$D$13,2,FALSE())</f>
        <v>Accessories</v>
      </c>
      <c r="M237" s="3" t="n">
        <f aca="false">F237*G237*(1-H237/100)</f>
        <v>2745</v>
      </c>
      <c r="N237" s="0" t="str">
        <f aca="false">VLOOKUP(I237,Customers!$A$2:$D$121,3,FALSE())</f>
        <v>Delhi</v>
      </c>
      <c r="O237" s="0" t="str">
        <f aca="false">VLOOKUP(I237,Customers!$A$2:$D$121,4,FALSE())</f>
        <v>Student</v>
      </c>
      <c r="P237" s="0" t="str">
        <f aca="false">TEXT(B237,"yyyy-mm")</f>
        <v>2025-08</v>
      </c>
    </row>
    <row r="238" customFormat="false" ht="15" hidden="false" customHeight="false" outlineLevel="0" collapsed="false">
      <c r="A238" s="0" t="s">
        <v>390</v>
      </c>
      <c r="B238" s="2" t="n">
        <v>45817</v>
      </c>
      <c r="C238" s="3" t="s">
        <v>17</v>
      </c>
      <c r="D238" s="3" t="s">
        <v>28</v>
      </c>
      <c r="E238" s="3" t="s">
        <v>93</v>
      </c>
      <c r="F238" s="0" t="n">
        <v>6</v>
      </c>
      <c r="G238" s="0" t="n">
        <v>450</v>
      </c>
      <c r="H238" s="0" t="n">
        <v>0</v>
      </c>
      <c r="I238" s="3" t="s">
        <v>90</v>
      </c>
      <c r="J238" s="0" t="n">
        <v>3</v>
      </c>
      <c r="K238" s="3" t="s">
        <v>21</v>
      </c>
      <c r="L238" s="0" t="str">
        <f aca="false">VLOOKUP(D238,Products!$A$2:$D$13,2,FALSE())</f>
        <v>Electronics</v>
      </c>
      <c r="M238" s="3" t="n">
        <f aca="false">F238*G238*(1-H238/100)</f>
        <v>2700</v>
      </c>
      <c r="N238" s="0" t="str">
        <f aca="false">VLOOKUP(I238,Customers!$A$2:$D$121,3,FALSE())</f>
        <v>Jaipur</v>
      </c>
      <c r="O238" s="0" t="str">
        <f aca="false">VLOOKUP(I238,Customers!$A$2:$D$121,4,FALSE())</f>
        <v>Corporate</v>
      </c>
      <c r="P238" s="0" t="str">
        <f aca="false">TEXT(B238,"yyyy-mm")</f>
        <v>2025-06</v>
      </c>
    </row>
    <row r="239" customFormat="false" ht="15" hidden="false" customHeight="false" outlineLevel="0" collapsed="false">
      <c r="A239" s="0" t="s">
        <v>391</v>
      </c>
      <c r="B239" s="2" t="n">
        <v>46089</v>
      </c>
      <c r="C239" s="3" t="s">
        <v>72</v>
      </c>
      <c r="D239" s="3" t="s">
        <v>18</v>
      </c>
      <c r="E239" s="3" t="s">
        <v>73</v>
      </c>
      <c r="F239" s="0" t="n">
        <v>5</v>
      </c>
      <c r="G239" s="0" t="n">
        <v>349</v>
      </c>
      <c r="H239" s="0" t="n">
        <v>0</v>
      </c>
      <c r="I239" s="3" t="s">
        <v>346</v>
      </c>
      <c r="J239" s="0" t="n">
        <v>2</v>
      </c>
      <c r="K239" s="3" t="s">
        <v>34</v>
      </c>
      <c r="L239" s="0" t="str">
        <f aca="false">VLOOKUP(D239,Products!$A$2:$D$13,2,FALSE())</f>
        <v>Home</v>
      </c>
      <c r="M239" s="3" t="n">
        <f aca="false">F239*G239*(1-H239/100)</f>
        <v>1745</v>
      </c>
      <c r="N239" s="0" t="str">
        <f aca="false">VLOOKUP(I239,Customers!$A$2:$D$121,3,FALSE())</f>
        <v>Delhi</v>
      </c>
      <c r="O239" s="0" t="str">
        <f aca="false">VLOOKUP(I239,Customers!$A$2:$D$121,4,FALSE())</f>
        <v>Student</v>
      </c>
      <c r="P239" s="0" t="str">
        <f aca="false">TEXT(B239,"yyyy-mm")</f>
        <v>2026-03</v>
      </c>
    </row>
    <row r="240" customFormat="false" ht="15" hidden="false" customHeight="false" outlineLevel="0" collapsed="false">
      <c r="A240" s="0" t="s">
        <v>392</v>
      </c>
      <c r="B240" s="2" t="n">
        <v>45933</v>
      </c>
      <c r="C240" s="3" t="s">
        <v>36</v>
      </c>
      <c r="D240" s="3" t="s">
        <v>108</v>
      </c>
      <c r="E240" s="3" t="s">
        <v>38</v>
      </c>
      <c r="F240" s="0" t="n">
        <v>1</v>
      </c>
      <c r="G240" s="0" t="n">
        <v>180</v>
      </c>
      <c r="H240" s="0" t="n">
        <v>10</v>
      </c>
      <c r="I240" s="3" t="s">
        <v>203</v>
      </c>
      <c r="J240" s="0" t="n">
        <v>2</v>
      </c>
      <c r="K240" s="3" t="s">
        <v>26</v>
      </c>
      <c r="L240" s="0" t="str">
        <f aca="false">VLOOKUP(D240,Products!$A$2:$D$13,2,FALSE())</f>
        <v>Stationery</v>
      </c>
      <c r="M240" s="3" t="n">
        <f aca="false">F240*G240*(1-H240/100)</f>
        <v>162</v>
      </c>
      <c r="N240" s="0" t="str">
        <f aca="false">VLOOKUP(I240,Customers!$A$2:$D$121,3,FALSE())</f>
        <v>Jaipur</v>
      </c>
      <c r="O240" s="0" t="str">
        <f aca="false">VLOOKUP(I240,Customers!$A$2:$D$121,4,FALSE())</f>
        <v>Corporate</v>
      </c>
      <c r="P240" s="0" t="str">
        <f aca="false">TEXT(B240,"yyyy-mm")</f>
        <v>2025-10</v>
      </c>
    </row>
    <row r="241" customFormat="false" ht="15" hidden="false" customHeight="false" outlineLevel="0" collapsed="false">
      <c r="A241" s="0" t="s">
        <v>393</v>
      </c>
      <c r="B241" s="2" t="n">
        <v>45761</v>
      </c>
      <c r="C241" s="3" t="s">
        <v>51</v>
      </c>
      <c r="D241" s="3" t="s">
        <v>28</v>
      </c>
      <c r="E241" s="3" t="s">
        <v>83</v>
      </c>
      <c r="F241" s="0" t="n">
        <v>1</v>
      </c>
      <c r="G241" s="0" t="n">
        <v>450</v>
      </c>
      <c r="H241" s="0" t="n">
        <v>0</v>
      </c>
      <c r="I241" s="3" t="s">
        <v>205</v>
      </c>
      <c r="J241" s="0" t="n">
        <v>4</v>
      </c>
      <c r="K241" s="3" t="s">
        <v>26</v>
      </c>
      <c r="L241" s="0" t="str">
        <f aca="false">VLOOKUP(D241,Products!$A$2:$D$13,2,FALSE())</f>
        <v>Electronics</v>
      </c>
      <c r="M241" s="3" t="n">
        <f aca="false">F241*G241*(1-H241/100)</f>
        <v>450</v>
      </c>
      <c r="N241" s="0" t="str">
        <f aca="false">VLOOKUP(I241,Customers!$A$2:$D$121,3,FALSE())</f>
        <v>Jaipur</v>
      </c>
      <c r="O241" s="0" t="str">
        <f aca="false">VLOOKUP(I241,Customers!$A$2:$D$121,4,FALSE())</f>
        <v>Student</v>
      </c>
      <c r="P241" s="0" t="str">
        <f aca="false">TEXT(B241,"yyyy-mm")</f>
        <v>2025-04</v>
      </c>
    </row>
    <row r="242" customFormat="false" ht="15" hidden="false" customHeight="false" outlineLevel="0" collapsed="false">
      <c r="A242" s="0" t="s">
        <v>394</v>
      </c>
      <c r="B242" s="2" t="n">
        <v>45781</v>
      </c>
      <c r="C242" s="3" t="s">
        <v>17</v>
      </c>
      <c r="D242" s="3" t="s">
        <v>116</v>
      </c>
      <c r="E242" s="3" t="s">
        <v>93</v>
      </c>
      <c r="F242" s="0" t="n">
        <v>5</v>
      </c>
      <c r="G242" s="0" t="n">
        <v>699</v>
      </c>
      <c r="H242" s="0" t="n">
        <v>0</v>
      </c>
      <c r="I242" s="3" t="s">
        <v>120</v>
      </c>
      <c r="J242" s="0" t="n">
        <v>5</v>
      </c>
      <c r="K242" s="3" t="s">
        <v>43</v>
      </c>
      <c r="L242" s="0" t="str">
        <f aca="false">VLOOKUP(D242,Products!$A$2:$D$13,2,FALSE())</f>
        <v>Home</v>
      </c>
      <c r="M242" s="3" t="n">
        <f aca="false">F242*G242*(1-H242/100)</f>
        <v>3495</v>
      </c>
      <c r="N242" s="0" t="str">
        <f aca="false">VLOOKUP(I242,Customers!$A$2:$D$121,3,FALSE())</f>
        <v>Bhopal</v>
      </c>
      <c r="O242" s="0" t="str">
        <f aca="false">VLOOKUP(I242,Customers!$A$2:$D$121,4,FALSE())</f>
        <v>Retail</v>
      </c>
      <c r="P242" s="0" t="str">
        <f aca="false">TEXT(B242,"yyyy-mm")</f>
        <v>2025-05</v>
      </c>
    </row>
    <row r="243" customFormat="false" ht="15" hidden="false" customHeight="false" outlineLevel="0" collapsed="false">
      <c r="A243" s="0" t="s">
        <v>395</v>
      </c>
      <c r="B243" s="2" t="n">
        <v>45785</v>
      </c>
      <c r="C243" s="3" t="s">
        <v>23</v>
      </c>
      <c r="D243" s="3" t="s">
        <v>88</v>
      </c>
      <c r="E243" s="3" t="s">
        <v>29</v>
      </c>
      <c r="F243" s="0" t="n">
        <v>1</v>
      </c>
      <c r="G243" s="0" t="n">
        <v>799</v>
      </c>
      <c r="H243" s="0" t="n">
        <v>0</v>
      </c>
      <c r="I243" s="3" t="s">
        <v>239</v>
      </c>
      <c r="J243" s="0" t="n">
        <v>4</v>
      </c>
      <c r="K243" s="3" t="s">
        <v>43</v>
      </c>
      <c r="L243" s="0" t="str">
        <f aca="false">VLOOKUP(D243,Products!$A$2:$D$13,2,FALSE())</f>
        <v>Accessories</v>
      </c>
      <c r="M243" s="3" t="n">
        <f aca="false">F243*G243*(1-H243/100)</f>
        <v>799</v>
      </c>
      <c r="N243" s="0" t="str">
        <f aca="false">VLOOKUP(I243,Customers!$A$2:$D$121,3,FALSE())</f>
        <v>Lucknow</v>
      </c>
      <c r="O243" s="0" t="str">
        <f aca="false">VLOOKUP(I243,Customers!$A$2:$D$121,4,FALSE())</f>
        <v>Retail</v>
      </c>
      <c r="P243" s="0" t="str">
        <f aca="false">TEXT(B243,"yyyy-mm")</f>
        <v>2025-05</v>
      </c>
    </row>
    <row r="244" customFormat="false" ht="15" hidden="false" customHeight="false" outlineLevel="0" collapsed="false">
      <c r="A244" s="0" t="s">
        <v>396</v>
      </c>
      <c r="B244" s="2" t="n">
        <v>45924</v>
      </c>
      <c r="C244" s="3" t="s">
        <v>23</v>
      </c>
      <c r="D244" s="3" t="s">
        <v>18</v>
      </c>
      <c r="E244" s="3" t="s">
        <v>24</v>
      </c>
      <c r="F244" s="0" t="n">
        <v>6</v>
      </c>
      <c r="G244" s="0" t="n">
        <v>349</v>
      </c>
      <c r="H244" s="0" t="n">
        <v>0</v>
      </c>
      <c r="I244" s="3" t="s">
        <v>397</v>
      </c>
      <c r="J244" s="0" t="n">
        <v>5</v>
      </c>
      <c r="K244" s="3" t="s">
        <v>26</v>
      </c>
      <c r="L244" s="0" t="str">
        <f aca="false">VLOOKUP(D244,Products!$A$2:$D$13,2,FALSE())</f>
        <v>Home</v>
      </c>
      <c r="M244" s="3" t="n">
        <f aca="false">F244*G244*(1-H244/100)</f>
        <v>2094</v>
      </c>
      <c r="N244" s="0" t="str">
        <f aca="false">VLOOKUP(I244,Customers!$A$2:$D$121,3,FALSE())</f>
        <v>Indore</v>
      </c>
      <c r="O244" s="0" t="str">
        <f aca="false">VLOOKUP(I244,Customers!$A$2:$D$121,4,FALSE())</f>
        <v>Retail</v>
      </c>
      <c r="P244" s="0" t="str">
        <f aca="false">TEXT(B244,"yyyy-mm")</f>
        <v>2025-09</v>
      </c>
    </row>
    <row r="245" customFormat="false" ht="15" hidden="false" customHeight="false" outlineLevel="0" collapsed="false">
      <c r="A245" s="0" t="s">
        <v>398</v>
      </c>
      <c r="B245" s="2" t="n">
        <v>45776</v>
      </c>
      <c r="C245" s="3" t="s">
        <v>23</v>
      </c>
      <c r="D245" s="3" t="s">
        <v>88</v>
      </c>
      <c r="E245" s="3" t="s">
        <v>24</v>
      </c>
      <c r="F245" s="0" t="n">
        <v>6</v>
      </c>
      <c r="G245" s="0" t="n">
        <v>799</v>
      </c>
      <c r="H245" s="0" t="n">
        <v>0</v>
      </c>
      <c r="I245" s="3" t="s">
        <v>234</v>
      </c>
      <c r="J245" s="0" t="n">
        <v>3</v>
      </c>
      <c r="K245" s="3" t="s">
        <v>26</v>
      </c>
      <c r="L245" s="0" t="str">
        <f aca="false">VLOOKUP(D245,Products!$A$2:$D$13,2,FALSE())</f>
        <v>Accessories</v>
      </c>
      <c r="M245" s="3" t="n">
        <f aca="false">F245*G245*(1-H245/100)</f>
        <v>4794</v>
      </c>
      <c r="N245" s="0" t="str">
        <f aca="false">VLOOKUP(I245,Customers!$A$2:$D$121,3,FALSE())</f>
        <v>Indore</v>
      </c>
      <c r="O245" s="0" t="str">
        <f aca="false">VLOOKUP(I245,Customers!$A$2:$D$121,4,FALSE())</f>
        <v>Retail</v>
      </c>
      <c r="P245" s="0" t="str">
        <f aca="false">TEXT(B245,"yyyy-mm")</f>
        <v>2025-04</v>
      </c>
    </row>
    <row r="246" customFormat="false" ht="15" hidden="false" customHeight="false" outlineLevel="0" collapsed="false">
      <c r="A246" s="0" t="s">
        <v>399</v>
      </c>
      <c r="B246" s="2" t="n">
        <v>45925</v>
      </c>
      <c r="C246" s="3" t="s">
        <v>36</v>
      </c>
      <c r="D246" s="3" t="s">
        <v>41</v>
      </c>
      <c r="E246" s="3" t="s">
        <v>38</v>
      </c>
      <c r="F246" s="0" t="n">
        <v>4</v>
      </c>
      <c r="G246" s="0" t="n">
        <v>399</v>
      </c>
      <c r="H246" s="0" t="n">
        <v>10</v>
      </c>
      <c r="I246" s="3" t="s">
        <v>400</v>
      </c>
      <c r="J246" s="0" t="n">
        <v>3</v>
      </c>
      <c r="K246" s="3" t="s">
        <v>34</v>
      </c>
      <c r="L246" s="0" t="str">
        <f aca="false">VLOOKUP(D246,Products!$A$2:$D$13,2,FALSE())</f>
        <v>Electronics</v>
      </c>
      <c r="M246" s="3" t="n">
        <f aca="false">F246*G246*(1-H246/100)</f>
        <v>1436.4</v>
      </c>
      <c r="N246" s="0" t="str">
        <f aca="false">VLOOKUP(I246,Customers!$A$2:$D$121,3,FALSE())</f>
        <v>Lucknow</v>
      </c>
      <c r="O246" s="0" t="str">
        <f aca="false">VLOOKUP(I246,Customers!$A$2:$D$121,4,FALSE())</f>
        <v>Retail</v>
      </c>
      <c r="P246" s="0" t="str">
        <f aca="false">TEXT(B246,"yyyy-mm")</f>
        <v>2025-09</v>
      </c>
    </row>
    <row r="247" customFormat="false" ht="15" hidden="false" customHeight="false" outlineLevel="0" collapsed="false">
      <c r="A247" s="0" t="s">
        <v>401</v>
      </c>
      <c r="B247" s="2" t="n">
        <v>45888</v>
      </c>
      <c r="C247" s="3" t="s">
        <v>23</v>
      </c>
      <c r="D247" s="3" t="s">
        <v>28</v>
      </c>
      <c r="E247" s="3" t="s">
        <v>24</v>
      </c>
      <c r="F247" s="0" t="n">
        <v>1</v>
      </c>
      <c r="G247" s="0" t="n">
        <v>450</v>
      </c>
      <c r="H247" s="0" t="n">
        <v>0</v>
      </c>
      <c r="I247" s="3" t="s">
        <v>261</v>
      </c>
      <c r="J247" s="0" t="n">
        <v>3</v>
      </c>
      <c r="K247" s="3" t="s">
        <v>26</v>
      </c>
      <c r="L247" s="0" t="str">
        <f aca="false">VLOOKUP(D247,Products!$A$2:$D$13,2,FALSE())</f>
        <v>Electronics</v>
      </c>
      <c r="M247" s="3" t="n">
        <f aca="false">F247*G247*(1-H247/100)</f>
        <v>450</v>
      </c>
      <c r="N247" s="0" t="str">
        <f aca="false">VLOOKUP(I247,Customers!$A$2:$D$121,3,FALSE())</f>
        <v>Mumbai</v>
      </c>
      <c r="O247" s="0" t="str">
        <f aca="false">VLOOKUP(I247,Customers!$A$2:$D$121,4,FALSE())</f>
        <v>Corporate</v>
      </c>
      <c r="P247" s="0" t="str">
        <f aca="false">TEXT(B247,"yyyy-mm")</f>
        <v>2025-08</v>
      </c>
    </row>
    <row r="248" customFormat="false" ht="15" hidden="false" customHeight="false" outlineLevel="0" collapsed="false">
      <c r="A248" s="0" t="s">
        <v>402</v>
      </c>
      <c r="B248" s="2" t="n">
        <v>45826</v>
      </c>
      <c r="C248" s="3" t="s">
        <v>23</v>
      </c>
      <c r="D248" s="3" t="s">
        <v>116</v>
      </c>
      <c r="E248" s="3" t="s">
        <v>29</v>
      </c>
      <c r="F248" s="0" t="n">
        <v>1</v>
      </c>
      <c r="G248" s="0" t="n">
        <v>699</v>
      </c>
      <c r="H248" s="0" t="n">
        <v>0</v>
      </c>
      <c r="I248" s="3" t="s">
        <v>251</v>
      </c>
      <c r="J248" s="0" t="n">
        <v>4</v>
      </c>
      <c r="K248" s="3" t="s">
        <v>21</v>
      </c>
      <c r="L248" s="0" t="str">
        <f aca="false">VLOOKUP(D248,Products!$A$2:$D$13,2,FALSE())</f>
        <v>Home</v>
      </c>
      <c r="M248" s="3" t="n">
        <f aca="false">F248*G248*(1-H248/100)</f>
        <v>699</v>
      </c>
      <c r="N248" s="0" t="str">
        <f aca="false">VLOOKUP(I248,Customers!$A$2:$D$121,3,FALSE())</f>
        <v>Indore</v>
      </c>
      <c r="O248" s="0" t="str">
        <f aca="false">VLOOKUP(I248,Customers!$A$2:$D$121,4,FALSE())</f>
        <v>Student</v>
      </c>
      <c r="P248" s="0" t="str">
        <f aca="false">TEXT(B248,"yyyy-mm")</f>
        <v>2025-06</v>
      </c>
    </row>
    <row r="249" customFormat="false" ht="15" hidden="false" customHeight="false" outlineLevel="0" collapsed="false">
      <c r="A249" s="0" t="s">
        <v>403</v>
      </c>
      <c r="B249" s="2" t="n">
        <v>45771</v>
      </c>
      <c r="C249" s="3" t="s">
        <v>17</v>
      </c>
      <c r="D249" s="3" t="s">
        <v>60</v>
      </c>
      <c r="E249" s="3" t="s">
        <v>19</v>
      </c>
      <c r="F249" s="0" t="n">
        <v>4</v>
      </c>
      <c r="G249" s="0" t="n">
        <v>40</v>
      </c>
      <c r="H249" s="0" t="n">
        <v>15</v>
      </c>
      <c r="I249" s="3" t="s">
        <v>84</v>
      </c>
      <c r="J249" s="0" t="n">
        <v>4</v>
      </c>
      <c r="K249" s="3" t="s">
        <v>43</v>
      </c>
      <c r="L249" s="0" t="str">
        <f aca="false">VLOOKUP(D249,Products!$A$2:$D$13,2,FALSE())</f>
        <v>Stationery</v>
      </c>
      <c r="M249" s="3" t="n">
        <f aca="false">F249*G249*(1-H249/100)</f>
        <v>136</v>
      </c>
      <c r="N249" s="0" t="str">
        <f aca="false">VLOOKUP(I249,Customers!$A$2:$D$121,3,FALSE())</f>
        <v>Bhopal</v>
      </c>
      <c r="O249" s="0" t="str">
        <f aca="false">VLOOKUP(I249,Customers!$A$2:$D$121,4,FALSE())</f>
        <v>Student</v>
      </c>
      <c r="P249" s="0" t="str">
        <f aca="false">TEXT(B249,"yyyy-mm")</f>
        <v>2025-04</v>
      </c>
    </row>
    <row r="250" customFormat="false" ht="15" hidden="false" customHeight="false" outlineLevel="0" collapsed="false">
      <c r="A250" s="0" t="s">
        <v>404</v>
      </c>
      <c r="B250" s="2" t="n">
        <v>46002</v>
      </c>
      <c r="C250" s="3" t="s">
        <v>17</v>
      </c>
      <c r="D250" s="3" t="s">
        <v>116</v>
      </c>
      <c r="E250" s="3" t="s">
        <v>93</v>
      </c>
      <c r="F250" s="0" t="n">
        <v>1</v>
      </c>
      <c r="G250" s="0" t="n">
        <v>699</v>
      </c>
      <c r="H250" s="0" t="n">
        <v>15</v>
      </c>
      <c r="I250" s="3" t="s">
        <v>106</v>
      </c>
      <c r="J250" s="0" t="n">
        <v>3</v>
      </c>
      <c r="K250" s="3" t="s">
        <v>43</v>
      </c>
      <c r="L250" s="0" t="str">
        <f aca="false">VLOOKUP(D250,Products!$A$2:$D$13,2,FALSE())</f>
        <v>Home</v>
      </c>
      <c r="M250" s="3" t="n">
        <f aca="false">F250*G250*(1-H250/100)</f>
        <v>594.15</v>
      </c>
      <c r="N250" s="0" t="str">
        <f aca="false">VLOOKUP(I250,Customers!$A$2:$D$121,3,FALSE())</f>
        <v>Bhopal</v>
      </c>
      <c r="O250" s="0" t="str">
        <f aca="false">VLOOKUP(I250,Customers!$A$2:$D$121,4,FALSE())</f>
        <v>Corporate</v>
      </c>
      <c r="P250" s="0" t="str">
        <f aca="false">TEXT(B250,"yyyy-mm")</f>
        <v>2025-12</v>
      </c>
    </row>
    <row r="251" customFormat="false" ht="15" hidden="false" customHeight="false" outlineLevel="0" collapsed="false">
      <c r="A251" s="0" t="s">
        <v>405</v>
      </c>
      <c r="B251" s="2" t="n">
        <v>45900</v>
      </c>
      <c r="C251" s="3" t="s">
        <v>51</v>
      </c>
      <c r="D251" s="3" t="s">
        <v>28</v>
      </c>
      <c r="E251" s="3" t="s">
        <v>52</v>
      </c>
      <c r="F251" s="0" t="n">
        <v>1</v>
      </c>
      <c r="G251" s="0" t="n">
        <v>450</v>
      </c>
      <c r="H251" s="0" t="n">
        <v>5</v>
      </c>
      <c r="I251" s="3" t="s">
        <v>225</v>
      </c>
      <c r="J251" s="0" t="n">
        <v>4</v>
      </c>
      <c r="K251" s="3" t="s">
        <v>43</v>
      </c>
      <c r="L251" s="0" t="str">
        <f aca="false">VLOOKUP(D251,Products!$A$2:$D$13,2,FALSE())</f>
        <v>Electronics</v>
      </c>
      <c r="M251" s="3" t="n">
        <f aca="false">F251*G251*(1-H251/100)</f>
        <v>427.5</v>
      </c>
      <c r="N251" s="0" t="str">
        <f aca="false">VLOOKUP(I251,Customers!$A$2:$D$121,3,FALSE())</f>
        <v>Bhopal</v>
      </c>
      <c r="O251" s="0" t="str">
        <f aca="false">VLOOKUP(I251,Customers!$A$2:$D$121,4,FALSE())</f>
        <v>Retail</v>
      </c>
      <c r="P251" s="0" t="str">
        <f aca="false">TEXT(B251,"yyyy-mm")</f>
        <v>2025-08</v>
      </c>
    </row>
    <row r="252" customFormat="false" ht="15" hidden="false" customHeight="false" outlineLevel="0" collapsed="false">
      <c r="A252" s="0" t="s">
        <v>406</v>
      </c>
      <c r="B252" s="2" t="n">
        <v>45985</v>
      </c>
      <c r="C252" s="3" t="s">
        <v>51</v>
      </c>
      <c r="D252" s="3" t="s">
        <v>88</v>
      </c>
      <c r="E252" s="3" t="s">
        <v>83</v>
      </c>
      <c r="F252" s="0" t="n">
        <v>2</v>
      </c>
      <c r="G252" s="0" t="n">
        <v>799</v>
      </c>
      <c r="H252" s="0" t="n">
        <v>0</v>
      </c>
      <c r="I252" s="3" t="s">
        <v>309</v>
      </c>
      <c r="J252" s="0" t="n">
        <v>4</v>
      </c>
      <c r="K252" s="3" t="s">
        <v>34</v>
      </c>
      <c r="L252" s="0" t="str">
        <f aca="false">VLOOKUP(D252,Products!$A$2:$D$13,2,FALSE())</f>
        <v>Accessories</v>
      </c>
      <c r="M252" s="3" t="n">
        <f aca="false">F252*G252*(1-H252/100)</f>
        <v>1598</v>
      </c>
      <c r="N252" s="0" t="str">
        <f aca="false">VLOOKUP(I252,Customers!$A$2:$D$121,3,FALSE())</f>
        <v>Delhi</v>
      </c>
      <c r="O252" s="0" t="str">
        <f aca="false">VLOOKUP(I252,Customers!$A$2:$D$121,4,FALSE())</f>
        <v>Student</v>
      </c>
      <c r="P252" s="0" t="str">
        <f aca="false">TEXT(B252,"yyyy-mm")</f>
        <v>2025-11</v>
      </c>
    </row>
    <row r="253" customFormat="false" ht="15" hidden="false" customHeight="false" outlineLevel="0" collapsed="false">
      <c r="A253" s="0" t="s">
        <v>407</v>
      </c>
      <c r="B253" s="2" t="n">
        <v>45952</v>
      </c>
      <c r="C253" s="3" t="s">
        <v>72</v>
      </c>
      <c r="D253" s="3" t="s">
        <v>48</v>
      </c>
      <c r="E253" s="3" t="s">
        <v>89</v>
      </c>
      <c r="F253" s="0" t="n">
        <v>5</v>
      </c>
      <c r="G253" s="0" t="n">
        <v>199</v>
      </c>
      <c r="H253" s="0" t="n">
        <v>0</v>
      </c>
      <c r="I253" s="3" t="s">
        <v>33</v>
      </c>
      <c r="J253" s="0" t="n">
        <v>4</v>
      </c>
      <c r="K253" s="3" t="s">
        <v>34</v>
      </c>
      <c r="L253" s="0" t="str">
        <f aca="false">VLOOKUP(D253,Products!$A$2:$D$13,2,FALSE())</f>
        <v>Home</v>
      </c>
      <c r="M253" s="3" t="n">
        <f aca="false">F253*G253*(1-H253/100)</f>
        <v>995</v>
      </c>
      <c r="N253" s="0" t="str">
        <f aca="false">VLOOKUP(I253,Customers!$A$2:$D$121,3,FALSE())</f>
        <v>Indore</v>
      </c>
      <c r="O253" s="0" t="str">
        <f aca="false">VLOOKUP(I253,Customers!$A$2:$D$121,4,FALSE())</f>
        <v>Corporate</v>
      </c>
      <c r="P253" s="0" t="str">
        <f aca="false">TEXT(B253,"yyyy-mm")</f>
        <v>2025-10</v>
      </c>
    </row>
    <row r="254" customFormat="false" ht="15" hidden="false" customHeight="false" outlineLevel="0" collapsed="false">
      <c r="A254" s="0" t="s">
        <v>408</v>
      </c>
      <c r="B254" s="2" t="n">
        <v>45810</v>
      </c>
      <c r="C254" s="3" t="s">
        <v>51</v>
      </c>
      <c r="D254" s="3" t="s">
        <v>28</v>
      </c>
      <c r="E254" s="3" t="s">
        <v>52</v>
      </c>
      <c r="F254" s="0" t="n">
        <v>2</v>
      </c>
      <c r="G254" s="0" t="n">
        <v>450</v>
      </c>
      <c r="H254" s="0" t="n">
        <v>0</v>
      </c>
      <c r="I254" s="3" t="s">
        <v>90</v>
      </c>
      <c r="J254" s="0" t="n">
        <v>3</v>
      </c>
      <c r="K254" s="3" t="s">
        <v>21</v>
      </c>
      <c r="L254" s="0" t="str">
        <f aca="false">VLOOKUP(D254,Products!$A$2:$D$13,2,FALSE())</f>
        <v>Electronics</v>
      </c>
      <c r="M254" s="3" t="n">
        <f aca="false">F254*G254*(1-H254/100)</f>
        <v>900</v>
      </c>
      <c r="N254" s="0" t="str">
        <f aca="false">VLOOKUP(I254,Customers!$A$2:$D$121,3,FALSE())</f>
        <v>Jaipur</v>
      </c>
      <c r="O254" s="0" t="str">
        <f aca="false">VLOOKUP(I254,Customers!$A$2:$D$121,4,FALSE())</f>
        <v>Corporate</v>
      </c>
      <c r="P254" s="0" t="str">
        <f aca="false">TEXT(B254,"yyyy-mm")</f>
        <v>2025-06</v>
      </c>
    </row>
    <row r="255" customFormat="false" ht="15" hidden="false" customHeight="false" outlineLevel="0" collapsed="false">
      <c r="A255" s="0" t="s">
        <v>409</v>
      </c>
      <c r="B255" s="2" t="n">
        <v>46063</v>
      </c>
      <c r="C255" s="3" t="s">
        <v>51</v>
      </c>
      <c r="D255" s="3" t="s">
        <v>37</v>
      </c>
      <c r="E255" s="3" t="s">
        <v>52</v>
      </c>
      <c r="F255" s="0" t="n">
        <v>2</v>
      </c>
      <c r="G255" s="0" t="n">
        <v>500</v>
      </c>
      <c r="H255" s="0" t="n">
        <v>5</v>
      </c>
      <c r="I255" s="3" t="s">
        <v>104</v>
      </c>
      <c r="J255" s="0" t="n">
        <v>5</v>
      </c>
      <c r="K255" s="3" t="s">
        <v>34</v>
      </c>
      <c r="L255" s="0" t="str">
        <f aca="false">VLOOKUP(D255,Products!$A$2:$D$13,2,FALSE())</f>
        <v>Electronics</v>
      </c>
      <c r="M255" s="3" t="n">
        <f aca="false">F255*G255*(1-H255/100)</f>
        <v>950</v>
      </c>
      <c r="N255" s="0" t="str">
        <f aca="false">VLOOKUP(I255,Customers!$A$2:$D$121,3,FALSE())</f>
        <v>Lucknow</v>
      </c>
      <c r="O255" s="0" t="str">
        <f aca="false">VLOOKUP(I255,Customers!$A$2:$D$121,4,FALSE())</f>
        <v>Student</v>
      </c>
      <c r="P255" s="0" t="str">
        <f aca="false">TEXT(B255,"yyyy-mm")</f>
        <v>2026-02</v>
      </c>
    </row>
    <row r="256" customFormat="false" ht="15" hidden="false" customHeight="false" outlineLevel="0" collapsed="false">
      <c r="A256" s="0" t="s">
        <v>410</v>
      </c>
      <c r="B256" s="2" t="n">
        <v>45845</v>
      </c>
      <c r="C256" s="3" t="s">
        <v>72</v>
      </c>
      <c r="D256" s="3" t="s">
        <v>116</v>
      </c>
      <c r="E256" s="3" t="s">
        <v>73</v>
      </c>
      <c r="F256" s="0" t="n">
        <v>1</v>
      </c>
      <c r="G256" s="0" t="n">
        <v>699</v>
      </c>
      <c r="H256" s="0" t="n">
        <v>0</v>
      </c>
      <c r="I256" s="3" t="s">
        <v>411</v>
      </c>
      <c r="J256" s="0" t="n">
        <v>5</v>
      </c>
      <c r="K256" s="3" t="s">
        <v>43</v>
      </c>
      <c r="L256" s="0" t="str">
        <f aca="false">VLOOKUP(D256,Products!$A$2:$D$13,2,FALSE())</f>
        <v>Home</v>
      </c>
      <c r="M256" s="3" t="n">
        <f aca="false">F256*G256*(1-H256/100)</f>
        <v>699</v>
      </c>
      <c r="N256" s="0" t="str">
        <f aca="false">VLOOKUP(I256,Customers!$A$2:$D$121,3,FALSE())</f>
        <v>Pune</v>
      </c>
      <c r="O256" s="0" t="str">
        <f aca="false">VLOOKUP(I256,Customers!$A$2:$D$121,4,FALSE())</f>
        <v>Corporate</v>
      </c>
      <c r="P256" s="0" t="str">
        <f aca="false">TEXT(B256,"yyyy-mm")</f>
        <v>2025-07</v>
      </c>
    </row>
    <row r="257" customFormat="false" ht="15" hidden="false" customHeight="false" outlineLevel="0" collapsed="false">
      <c r="A257" s="0" t="s">
        <v>412</v>
      </c>
      <c r="B257" s="2" t="n">
        <v>45759</v>
      </c>
      <c r="C257" s="3" t="s">
        <v>51</v>
      </c>
      <c r="D257" s="3" t="s">
        <v>37</v>
      </c>
      <c r="E257" s="3" t="s">
        <v>52</v>
      </c>
      <c r="F257" s="0" t="n">
        <v>2</v>
      </c>
      <c r="G257" s="0" t="n">
        <v>500</v>
      </c>
      <c r="H257" s="0" t="n">
        <v>0</v>
      </c>
      <c r="I257" s="3" t="s">
        <v>120</v>
      </c>
      <c r="J257" s="0" t="n">
        <v>4</v>
      </c>
      <c r="K257" s="3" t="s">
        <v>26</v>
      </c>
      <c r="L257" s="0" t="str">
        <f aca="false">VLOOKUP(D257,Products!$A$2:$D$13,2,FALSE())</f>
        <v>Electronics</v>
      </c>
      <c r="M257" s="3" t="n">
        <f aca="false">F257*G257*(1-H257/100)</f>
        <v>1000</v>
      </c>
      <c r="N257" s="0" t="str">
        <f aca="false">VLOOKUP(I257,Customers!$A$2:$D$121,3,FALSE())</f>
        <v>Bhopal</v>
      </c>
      <c r="O257" s="0" t="str">
        <f aca="false">VLOOKUP(I257,Customers!$A$2:$D$121,4,FALSE())</f>
        <v>Retail</v>
      </c>
      <c r="P257" s="0" t="str">
        <f aca="false">TEXT(B257,"yyyy-mm")</f>
        <v>2025-04</v>
      </c>
    </row>
    <row r="258" customFormat="false" ht="15" hidden="false" customHeight="false" outlineLevel="0" collapsed="false">
      <c r="A258" s="0" t="s">
        <v>413</v>
      </c>
      <c r="B258" s="2" t="n">
        <v>45772</v>
      </c>
      <c r="C258" s="3" t="s">
        <v>72</v>
      </c>
      <c r="D258" s="3" t="s">
        <v>116</v>
      </c>
      <c r="E258" s="3" t="s">
        <v>73</v>
      </c>
      <c r="F258" s="0" t="n">
        <v>8</v>
      </c>
      <c r="G258" s="0" t="n">
        <v>699</v>
      </c>
      <c r="H258" s="0" t="n">
        <v>0</v>
      </c>
      <c r="I258" s="3" t="s">
        <v>154</v>
      </c>
      <c r="J258" s="0" t="n">
        <v>4</v>
      </c>
      <c r="K258" s="3" t="s">
        <v>34</v>
      </c>
      <c r="L258" s="0" t="str">
        <f aca="false">VLOOKUP(D258,Products!$A$2:$D$13,2,FALSE())</f>
        <v>Home</v>
      </c>
      <c r="M258" s="3" t="n">
        <f aca="false">F258*G258*(1-H258/100)</f>
        <v>5592</v>
      </c>
      <c r="N258" s="0" t="str">
        <f aca="false">VLOOKUP(I258,Customers!$A$2:$D$121,3,FALSE())</f>
        <v>Lucknow</v>
      </c>
      <c r="O258" s="0" t="str">
        <f aca="false">VLOOKUP(I258,Customers!$A$2:$D$121,4,FALSE())</f>
        <v>Retail</v>
      </c>
      <c r="P258" s="0" t="str">
        <f aca="false">TEXT(B258,"yyyy-mm")</f>
        <v>2025-04</v>
      </c>
    </row>
    <row r="259" customFormat="false" ht="15" hidden="false" customHeight="false" outlineLevel="0" collapsed="false">
      <c r="A259" s="0" t="s">
        <v>414</v>
      </c>
      <c r="B259" s="2" t="n">
        <v>45803</v>
      </c>
      <c r="C259" s="3" t="s">
        <v>17</v>
      </c>
      <c r="D259" s="3" t="s">
        <v>57</v>
      </c>
      <c r="E259" s="3" t="s">
        <v>93</v>
      </c>
      <c r="F259" s="0" t="n">
        <v>1</v>
      </c>
      <c r="G259" s="0" t="n">
        <v>549</v>
      </c>
      <c r="H259" s="0" t="n">
        <v>5</v>
      </c>
      <c r="I259" s="3" t="s">
        <v>291</v>
      </c>
      <c r="J259" s="0" t="n">
        <v>5</v>
      </c>
      <c r="K259" s="3" t="s">
        <v>43</v>
      </c>
      <c r="L259" s="0" t="str">
        <f aca="false">VLOOKUP(D259,Products!$A$2:$D$13,2,FALSE())</f>
        <v>Accessories</v>
      </c>
      <c r="M259" s="3" t="n">
        <f aca="false">F259*G259*(1-H259/100)</f>
        <v>521.55</v>
      </c>
      <c r="N259" s="0" t="str">
        <f aca="false">VLOOKUP(I259,Customers!$A$2:$D$121,3,FALSE())</f>
        <v>Pune</v>
      </c>
      <c r="O259" s="0" t="str">
        <f aca="false">VLOOKUP(I259,Customers!$A$2:$D$121,4,FALSE())</f>
        <v>Retail</v>
      </c>
      <c r="P259" s="0" t="str">
        <f aca="false">TEXT(B259,"yyyy-mm")</f>
        <v>2025-05</v>
      </c>
    </row>
    <row r="260" customFormat="false" ht="15" hidden="false" customHeight="false" outlineLevel="0" collapsed="false">
      <c r="A260" s="0" t="s">
        <v>415</v>
      </c>
      <c r="B260" s="2" t="n">
        <v>45953</v>
      </c>
      <c r="C260" s="3" t="s">
        <v>17</v>
      </c>
      <c r="D260" s="3" t="s">
        <v>41</v>
      </c>
      <c r="E260" s="3" t="s">
        <v>93</v>
      </c>
      <c r="F260" s="0" t="n">
        <v>2</v>
      </c>
      <c r="G260" s="0" t="n">
        <v>399</v>
      </c>
      <c r="H260" s="0" t="n">
        <v>0</v>
      </c>
      <c r="I260" s="3" t="s">
        <v>276</v>
      </c>
      <c r="J260" s="3" t="s">
        <v>416</v>
      </c>
      <c r="K260" s="3" t="s">
        <v>34</v>
      </c>
      <c r="L260" s="0" t="str">
        <f aca="false">VLOOKUP(D260,Products!$A$2:$D$13,2,FALSE())</f>
        <v>Electronics</v>
      </c>
      <c r="M260" s="3" t="n">
        <f aca="false">F260*G260*(1-H260/100)</f>
        <v>798</v>
      </c>
      <c r="N260" s="0" t="str">
        <f aca="false">VLOOKUP(I260,Customers!$A$2:$D$121,3,FALSE())</f>
        <v>Jaipur</v>
      </c>
      <c r="O260" s="0" t="str">
        <f aca="false">VLOOKUP(I260,Customers!$A$2:$D$121,4,FALSE())</f>
        <v>Retail</v>
      </c>
      <c r="P260" s="0" t="str">
        <f aca="false">TEXT(B260,"yyyy-mm")</f>
        <v>2025-10</v>
      </c>
    </row>
    <row r="261" customFormat="false" ht="15" hidden="false" customHeight="false" outlineLevel="0" collapsed="false">
      <c r="A261" s="0" t="s">
        <v>417</v>
      </c>
      <c r="B261" s="2" t="n">
        <v>46006</v>
      </c>
      <c r="C261" s="3" t="s">
        <v>51</v>
      </c>
      <c r="D261" s="3" t="s">
        <v>45</v>
      </c>
      <c r="E261" s="3" t="s">
        <v>52</v>
      </c>
      <c r="F261" s="0" t="n">
        <v>4</v>
      </c>
      <c r="G261" s="0" t="n">
        <v>30</v>
      </c>
      <c r="H261" s="0" t="n">
        <v>5</v>
      </c>
      <c r="I261" s="3" t="s">
        <v>33</v>
      </c>
      <c r="J261" s="0" t="n">
        <v>4</v>
      </c>
      <c r="K261" s="3" t="s">
        <v>26</v>
      </c>
      <c r="L261" s="0" t="str">
        <f aca="false">VLOOKUP(D261,Products!$A$2:$D$13,2,FALSE())</f>
        <v>Stationery</v>
      </c>
      <c r="M261" s="3" t="n">
        <f aca="false">F261*G261*(1-H261/100)</f>
        <v>114</v>
      </c>
      <c r="N261" s="0" t="str">
        <f aca="false">VLOOKUP(I261,Customers!$A$2:$D$121,3,FALSE())</f>
        <v>Indore</v>
      </c>
      <c r="O261" s="0" t="str">
        <f aca="false">VLOOKUP(I261,Customers!$A$2:$D$121,4,FALSE())</f>
        <v>Corporate</v>
      </c>
      <c r="P261" s="0" t="str">
        <f aca="false">TEXT(B261,"yyyy-mm")</f>
        <v>2025-12</v>
      </c>
    </row>
    <row r="262" customFormat="false" ht="15" hidden="false" customHeight="false" outlineLevel="0" collapsed="false">
      <c r="A262" s="0" t="s">
        <v>418</v>
      </c>
      <c r="B262" s="2" t="n">
        <v>45939</v>
      </c>
      <c r="C262" s="3" t="s">
        <v>51</v>
      </c>
      <c r="D262" s="3" t="s">
        <v>45</v>
      </c>
      <c r="E262" s="3" t="s">
        <v>52</v>
      </c>
      <c r="F262" s="0" t="n">
        <v>3</v>
      </c>
      <c r="G262" s="0" t="n">
        <v>30</v>
      </c>
      <c r="H262" s="0" t="n">
        <v>0</v>
      </c>
      <c r="I262" s="3" t="s">
        <v>30</v>
      </c>
      <c r="J262" s="0" t="n">
        <v>5</v>
      </c>
      <c r="K262" s="3" t="s">
        <v>26</v>
      </c>
      <c r="L262" s="0" t="str">
        <f aca="false">VLOOKUP(D262,Products!$A$2:$D$13,2,FALSE())</f>
        <v>Stationery</v>
      </c>
      <c r="M262" s="3" t="n">
        <f aca="false">F262*G262*(1-H262/100)</f>
        <v>90</v>
      </c>
      <c r="N262" s="0" t="str">
        <f aca="false">VLOOKUP(I262,Customers!$A$2:$D$121,3,FALSE())</f>
        <v>Chennai</v>
      </c>
      <c r="O262" s="0" t="str">
        <f aca="false">VLOOKUP(I262,Customers!$A$2:$D$121,4,FALSE())</f>
        <v>Student</v>
      </c>
      <c r="P262" s="0" t="str">
        <f aca="false">TEXT(B262,"yyyy-mm")</f>
        <v>2025-10</v>
      </c>
    </row>
    <row r="263" customFormat="false" ht="15" hidden="false" customHeight="false" outlineLevel="0" collapsed="false">
      <c r="A263" s="0" t="s">
        <v>419</v>
      </c>
      <c r="B263" s="2" t="n">
        <v>45953</v>
      </c>
      <c r="C263" s="3" t="s">
        <v>23</v>
      </c>
      <c r="D263" s="3" t="s">
        <v>116</v>
      </c>
      <c r="E263" s="3" t="s">
        <v>24</v>
      </c>
      <c r="F263" s="0" t="n">
        <v>2</v>
      </c>
      <c r="G263" s="0" t="n">
        <v>699</v>
      </c>
      <c r="H263" s="0" t="n">
        <v>10</v>
      </c>
      <c r="I263" s="3" t="s">
        <v>158</v>
      </c>
      <c r="J263" s="0" t="n">
        <v>1</v>
      </c>
      <c r="K263" s="3" t="s">
        <v>34</v>
      </c>
      <c r="L263" s="0" t="str">
        <f aca="false">VLOOKUP(D263,Products!$A$2:$D$13,2,FALSE())</f>
        <v>Home</v>
      </c>
      <c r="M263" s="3" t="n">
        <f aca="false">F263*G263*(1-H263/100)</f>
        <v>1258.2</v>
      </c>
      <c r="N263" s="0" t="str">
        <f aca="false">VLOOKUP(I263,Customers!$A$2:$D$121,3,FALSE())</f>
        <v>Mumbai</v>
      </c>
      <c r="O263" s="0" t="str">
        <f aca="false">VLOOKUP(I263,Customers!$A$2:$D$121,4,FALSE())</f>
        <v>Retail</v>
      </c>
      <c r="P263" s="0" t="str">
        <f aca="false">TEXT(B263,"yyyy-mm")</f>
        <v>2025-10</v>
      </c>
    </row>
    <row r="264" customFormat="false" ht="15" hidden="false" customHeight="false" outlineLevel="0" collapsed="false">
      <c r="A264" s="0" t="s">
        <v>420</v>
      </c>
      <c r="B264" s="2" t="n">
        <v>45981</v>
      </c>
      <c r="C264" s="3" t="s">
        <v>23</v>
      </c>
      <c r="D264" s="3" t="s">
        <v>32</v>
      </c>
      <c r="E264" s="3" t="s">
        <v>24</v>
      </c>
      <c r="F264" s="0" t="n">
        <v>3</v>
      </c>
      <c r="G264" s="0" t="n">
        <v>249</v>
      </c>
      <c r="H264" s="0" t="n">
        <v>0</v>
      </c>
      <c r="I264" s="3" t="s">
        <v>185</v>
      </c>
      <c r="J264" s="0" t="n">
        <v>5</v>
      </c>
      <c r="K264" s="3" t="s">
        <v>34</v>
      </c>
      <c r="L264" s="0" t="str">
        <f aca="false">VLOOKUP(D264,Products!$A$2:$D$13,2,FALSE())</f>
        <v>Accessories</v>
      </c>
      <c r="M264" s="3" t="n">
        <f aca="false">F264*G264*(1-H264/100)</f>
        <v>747</v>
      </c>
      <c r="N264" s="0" t="str">
        <f aca="false">VLOOKUP(I264,Customers!$A$2:$D$121,3,FALSE())</f>
        <v>Indore</v>
      </c>
      <c r="O264" s="0" t="str">
        <f aca="false">VLOOKUP(I264,Customers!$A$2:$D$121,4,FALSE())</f>
        <v>Corporate</v>
      </c>
      <c r="P264" s="0" t="str">
        <f aca="false">TEXT(B264,"yyyy-mm")</f>
        <v>2025-11</v>
      </c>
    </row>
    <row r="265" customFormat="false" ht="15" hidden="false" customHeight="false" outlineLevel="0" collapsed="false">
      <c r="A265" s="0" t="s">
        <v>421</v>
      </c>
      <c r="B265" s="2" t="n">
        <v>45831</v>
      </c>
      <c r="C265" s="3" t="s">
        <v>72</v>
      </c>
      <c r="D265" s="3" t="s">
        <v>116</v>
      </c>
      <c r="E265" s="3" t="s">
        <v>73</v>
      </c>
      <c r="F265" s="0" t="n">
        <v>1</v>
      </c>
      <c r="G265" s="0" t="n">
        <v>699</v>
      </c>
      <c r="H265" s="0" t="n">
        <v>5</v>
      </c>
      <c r="I265" s="3" t="s">
        <v>198</v>
      </c>
      <c r="J265" s="0" t="n">
        <v>5</v>
      </c>
      <c r="K265" s="3" t="s">
        <v>34</v>
      </c>
      <c r="L265" s="0" t="str">
        <f aca="false">VLOOKUP(D265,Products!$A$2:$D$13,2,FALSE())</f>
        <v>Home</v>
      </c>
      <c r="M265" s="3" t="n">
        <f aca="false">F265*G265*(1-H265/100)</f>
        <v>664.05</v>
      </c>
      <c r="N265" s="0" t="str">
        <f aca="false">VLOOKUP(I265,Customers!$A$2:$D$121,3,FALSE())</f>
        <v>Bhopal</v>
      </c>
      <c r="O265" s="0" t="str">
        <f aca="false">VLOOKUP(I265,Customers!$A$2:$D$121,4,FALSE())</f>
        <v>Student</v>
      </c>
      <c r="P265" s="0" t="str">
        <f aca="false">TEXT(B265,"yyyy-mm")</f>
        <v>2025-06</v>
      </c>
    </row>
    <row r="266" customFormat="false" ht="15" hidden="false" customHeight="false" outlineLevel="0" collapsed="false">
      <c r="A266" s="0" t="s">
        <v>422</v>
      </c>
      <c r="B266" s="2" t="n">
        <v>46020</v>
      </c>
      <c r="C266" s="3" t="s">
        <v>23</v>
      </c>
      <c r="D266" s="3" t="s">
        <v>57</v>
      </c>
      <c r="E266" s="3" t="s">
        <v>29</v>
      </c>
      <c r="F266" s="0" t="n">
        <v>1</v>
      </c>
      <c r="G266" s="0" t="n">
        <v>549</v>
      </c>
      <c r="H266" s="0" t="n">
        <v>5</v>
      </c>
      <c r="I266" s="3" t="s">
        <v>346</v>
      </c>
      <c r="J266" s="0" t="n">
        <v>4</v>
      </c>
      <c r="K266" s="3" t="s">
        <v>21</v>
      </c>
      <c r="L266" s="0" t="str">
        <f aca="false">VLOOKUP(D266,Products!$A$2:$D$13,2,FALSE())</f>
        <v>Accessories</v>
      </c>
      <c r="M266" s="3" t="n">
        <f aca="false">F266*G266*(1-H266/100)</f>
        <v>521.55</v>
      </c>
      <c r="N266" s="0" t="str">
        <f aca="false">VLOOKUP(I266,Customers!$A$2:$D$121,3,FALSE())</f>
        <v>Delhi</v>
      </c>
      <c r="O266" s="0" t="str">
        <f aca="false">VLOOKUP(I266,Customers!$A$2:$D$121,4,FALSE())</f>
        <v>Student</v>
      </c>
      <c r="P266" s="0" t="str">
        <f aca="false">TEXT(B266,"yyyy-mm")</f>
        <v>2025-12</v>
      </c>
    </row>
    <row r="267" customFormat="false" ht="15" hidden="false" customHeight="false" outlineLevel="0" collapsed="false">
      <c r="A267" s="0" t="s">
        <v>423</v>
      </c>
      <c r="B267" s="2" t="n">
        <v>46092</v>
      </c>
      <c r="C267" s="3" t="s">
        <v>72</v>
      </c>
      <c r="D267" s="3" t="s">
        <v>41</v>
      </c>
      <c r="E267" s="3" t="s">
        <v>89</v>
      </c>
      <c r="F267" s="0" t="n">
        <v>3</v>
      </c>
      <c r="G267" s="0" t="n">
        <v>399</v>
      </c>
      <c r="H267" s="0" t="n">
        <v>0</v>
      </c>
      <c r="I267" s="3" t="s">
        <v>322</v>
      </c>
      <c r="J267" s="0" t="n">
        <v>4</v>
      </c>
      <c r="K267" s="3" t="s">
        <v>43</v>
      </c>
      <c r="L267" s="0" t="str">
        <f aca="false">VLOOKUP(D267,Products!$A$2:$D$13,2,FALSE())</f>
        <v>Electronics</v>
      </c>
      <c r="M267" s="3" t="n">
        <f aca="false">F267*G267*(1-H267/100)</f>
        <v>1197</v>
      </c>
      <c r="N267" s="0" t="str">
        <f aca="false">VLOOKUP(I267,Customers!$A$2:$D$121,3,FALSE())</f>
        <v>Kolkata</v>
      </c>
      <c r="O267" s="0" t="str">
        <f aca="false">VLOOKUP(I267,Customers!$A$2:$D$121,4,FALSE())</f>
        <v>Retail</v>
      </c>
      <c r="P267" s="0" t="str">
        <f aca="false">TEXT(B267,"yyyy-mm")</f>
        <v>2026-03</v>
      </c>
    </row>
    <row r="268" customFormat="false" ht="15" hidden="false" customHeight="false" outlineLevel="0" collapsed="false">
      <c r="A268" s="0" t="s">
        <v>424</v>
      </c>
      <c r="B268" s="2" t="n">
        <v>46043</v>
      </c>
      <c r="C268" s="3" t="s">
        <v>23</v>
      </c>
      <c r="D268" s="3" t="s">
        <v>37</v>
      </c>
      <c r="E268" s="3" t="s">
        <v>29</v>
      </c>
      <c r="F268" s="0" t="n">
        <v>3</v>
      </c>
      <c r="G268" s="0" t="n">
        <v>500</v>
      </c>
      <c r="H268" s="0" t="n">
        <v>0</v>
      </c>
      <c r="I268" s="3" t="s">
        <v>284</v>
      </c>
      <c r="J268" s="0" t="n">
        <v>2</v>
      </c>
      <c r="K268" s="3" t="s">
        <v>26</v>
      </c>
      <c r="L268" s="0" t="str">
        <f aca="false">VLOOKUP(D268,Products!$A$2:$D$13,2,FALSE())</f>
        <v>Electronics</v>
      </c>
      <c r="M268" s="3" t="n">
        <f aca="false">F268*G268*(1-H268/100)</f>
        <v>1500</v>
      </c>
      <c r="N268" s="0" t="str">
        <f aca="false">VLOOKUP(I268,Customers!$A$2:$D$121,3,FALSE())</f>
        <v>Jaipur</v>
      </c>
      <c r="O268" s="0" t="str">
        <f aca="false">VLOOKUP(I268,Customers!$A$2:$D$121,4,FALSE())</f>
        <v>Retail</v>
      </c>
      <c r="P268" s="0" t="str">
        <f aca="false">TEXT(B268,"yyyy-mm")</f>
        <v>2026-01</v>
      </c>
    </row>
    <row r="269" customFormat="false" ht="15" hidden="false" customHeight="false" outlineLevel="0" collapsed="false">
      <c r="A269" s="0" t="s">
        <v>425</v>
      </c>
      <c r="B269" s="2" t="n">
        <v>45942</v>
      </c>
      <c r="C269" s="3" t="s">
        <v>23</v>
      </c>
      <c r="D269" s="3" t="s">
        <v>57</v>
      </c>
      <c r="E269" s="3" t="s">
        <v>24</v>
      </c>
      <c r="F269" s="0" t="n">
        <v>4</v>
      </c>
      <c r="G269" s="0" t="n">
        <v>549</v>
      </c>
      <c r="H269" s="0" t="n">
        <v>0</v>
      </c>
      <c r="I269" s="3" t="s">
        <v>426</v>
      </c>
      <c r="J269" s="0" t="n">
        <v>4</v>
      </c>
      <c r="K269" s="3" t="s">
        <v>21</v>
      </c>
      <c r="L269" s="0" t="str">
        <f aca="false">VLOOKUP(D269,Products!$A$2:$D$13,2,FALSE())</f>
        <v>Accessories</v>
      </c>
      <c r="M269" s="3" t="n">
        <f aca="false">F269*G269*(1-H269/100)</f>
        <v>2196</v>
      </c>
      <c r="N269" s="0" t="str">
        <f aca="false">VLOOKUP(I269,Customers!$A$2:$D$121,3,FALSE())</f>
        <v>Bhopal</v>
      </c>
      <c r="O269" s="0" t="str">
        <f aca="false">VLOOKUP(I269,Customers!$A$2:$D$121,4,FALSE())</f>
        <v>Corporate</v>
      </c>
      <c r="P269" s="0" t="str">
        <f aca="false">TEXT(B269,"yyyy-mm")</f>
        <v>2025-10</v>
      </c>
    </row>
    <row r="270" customFormat="false" ht="15" hidden="false" customHeight="false" outlineLevel="0" collapsed="false">
      <c r="A270" s="0" t="s">
        <v>427</v>
      </c>
      <c r="B270" s="2" t="n">
        <v>45973</v>
      </c>
      <c r="C270" s="3" t="s">
        <v>17</v>
      </c>
      <c r="D270" s="3" t="s">
        <v>28</v>
      </c>
      <c r="E270" s="3" t="s">
        <v>19</v>
      </c>
      <c r="F270" s="0" t="n">
        <v>5</v>
      </c>
      <c r="G270" s="0" t="n">
        <v>450</v>
      </c>
      <c r="H270" s="0" t="n">
        <v>0</v>
      </c>
      <c r="I270" s="3" t="s">
        <v>322</v>
      </c>
      <c r="J270" s="0" t="n">
        <v>3</v>
      </c>
      <c r="K270" s="3" t="s">
        <v>43</v>
      </c>
      <c r="L270" s="0" t="str">
        <f aca="false">VLOOKUP(D270,Products!$A$2:$D$13,2,FALSE())</f>
        <v>Electronics</v>
      </c>
      <c r="M270" s="3" t="n">
        <f aca="false">F270*G270*(1-H270/100)</f>
        <v>2250</v>
      </c>
      <c r="N270" s="0" t="str">
        <f aca="false">VLOOKUP(I270,Customers!$A$2:$D$121,3,FALSE())</f>
        <v>Kolkata</v>
      </c>
      <c r="O270" s="0" t="str">
        <f aca="false">VLOOKUP(I270,Customers!$A$2:$D$121,4,FALSE())</f>
        <v>Retail</v>
      </c>
      <c r="P270" s="0" t="str">
        <f aca="false">TEXT(B270,"yyyy-mm")</f>
        <v>2025-11</v>
      </c>
    </row>
    <row r="271" customFormat="false" ht="15" hidden="false" customHeight="false" outlineLevel="0" collapsed="false">
      <c r="A271" s="0" t="s">
        <v>428</v>
      </c>
      <c r="B271" s="2" t="n">
        <v>45989</v>
      </c>
      <c r="C271" s="3" t="s">
        <v>23</v>
      </c>
      <c r="D271" s="3" t="s">
        <v>57</v>
      </c>
      <c r="E271" s="3" t="s">
        <v>24</v>
      </c>
      <c r="F271" s="0" t="n">
        <v>2</v>
      </c>
      <c r="G271" s="0" t="n">
        <v>549</v>
      </c>
      <c r="H271" s="0" t="n">
        <v>15</v>
      </c>
      <c r="I271" s="3" t="s">
        <v>42</v>
      </c>
      <c r="J271" s="0" t="n">
        <v>2</v>
      </c>
      <c r="K271" s="3" t="s">
        <v>26</v>
      </c>
      <c r="L271" s="0" t="str">
        <f aca="false">VLOOKUP(D271,Products!$A$2:$D$13,2,FALSE())</f>
        <v>Accessories</v>
      </c>
      <c r="M271" s="3" t="n">
        <f aca="false">F271*G271*(1-H271/100)</f>
        <v>933.3</v>
      </c>
      <c r="N271" s="0" t="str">
        <f aca="false">VLOOKUP(I271,Customers!$A$2:$D$121,3,FALSE())</f>
        <v>Indore</v>
      </c>
      <c r="O271" s="0" t="str">
        <f aca="false">VLOOKUP(I271,Customers!$A$2:$D$121,4,FALSE())</f>
        <v>Retail</v>
      </c>
      <c r="P271" s="0" t="str">
        <f aca="false">TEXT(B271,"yyyy-mm")</f>
        <v>2025-11</v>
      </c>
    </row>
    <row r="272" customFormat="false" ht="15" hidden="false" customHeight="false" outlineLevel="0" collapsed="false">
      <c r="A272" s="0" t="s">
        <v>429</v>
      </c>
      <c r="B272" s="2" t="n">
        <v>46087</v>
      </c>
      <c r="C272" s="3" t="s">
        <v>72</v>
      </c>
      <c r="D272" s="3" t="s">
        <v>57</v>
      </c>
      <c r="E272" s="3" t="s">
        <v>89</v>
      </c>
      <c r="F272" s="0" t="n">
        <v>2</v>
      </c>
      <c r="G272" s="0" t="n">
        <v>549</v>
      </c>
      <c r="H272" s="0" t="n">
        <v>5</v>
      </c>
      <c r="I272" s="3" t="s">
        <v>165</v>
      </c>
      <c r="J272" s="0" t="n">
        <v>4</v>
      </c>
      <c r="K272" s="3" t="s">
        <v>43</v>
      </c>
      <c r="L272" s="0" t="str">
        <f aca="false">VLOOKUP(D272,Products!$A$2:$D$13,2,FALSE())</f>
        <v>Accessories</v>
      </c>
      <c r="M272" s="3" t="n">
        <f aca="false">F272*G272*(1-H272/100)</f>
        <v>1043.1</v>
      </c>
      <c r="N272" s="0" t="str">
        <f aca="false">VLOOKUP(I272,Customers!$A$2:$D$121,3,FALSE())</f>
        <v>Mumbai</v>
      </c>
      <c r="O272" s="0" t="str">
        <f aca="false">VLOOKUP(I272,Customers!$A$2:$D$121,4,FALSE())</f>
        <v>Retail</v>
      </c>
      <c r="P272" s="0" t="str">
        <f aca="false">TEXT(B272,"yyyy-mm")</f>
        <v>2026-03</v>
      </c>
    </row>
    <row r="273" customFormat="false" ht="15" hidden="false" customHeight="false" outlineLevel="0" collapsed="false">
      <c r="A273" s="0" t="s">
        <v>430</v>
      </c>
      <c r="B273" s="2" t="n">
        <v>46027</v>
      </c>
      <c r="C273" s="3" t="s">
        <v>72</v>
      </c>
      <c r="D273" s="3" t="s">
        <v>57</v>
      </c>
      <c r="E273" s="3" t="s">
        <v>73</v>
      </c>
      <c r="F273" s="0" t="n">
        <v>3</v>
      </c>
      <c r="G273" s="0" t="n">
        <v>549</v>
      </c>
      <c r="H273" s="0" t="n">
        <v>0</v>
      </c>
      <c r="I273" s="3" t="s">
        <v>152</v>
      </c>
      <c r="J273" s="0" t="n">
        <v>5</v>
      </c>
      <c r="K273" s="3" t="s">
        <v>43</v>
      </c>
      <c r="L273" s="0" t="str">
        <f aca="false">VLOOKUP(D273,Products!$A$2:$D$13,2,FALSE())</f>
        <v>Accessories</v>
      </c>
      <c r="M273" s="3" t="n">
        <f aca="false">F273*G273*(1-H273/100)</f>
        <v>1647</v>
      </c>
      <c r="N273" s="0" t="str">
        <f aca="false">VLOOKUP(I273,Customers!$A$2:$D$121,3,FALSE())</f>
        <v>Bhopal</v>
      </c>
      <c r="O273" s="0" t="str">
        <f aca="false">VLOOKUP(I273,Customers!$A$2:$D$121,4,FALSE())</f>
        <v>Corporate</v>
      </c>
      <c r="P273" s="0" t="str">
        <f aca="false">TEXT(B273,"yyyy-mm")</f>
        <v>2026-01</v>
      </c>
    </row>
    <row r="274" customFormat="false" ht="15" hidden="false" customHeight="false" outlineLevel="0" collapsed="false">
      <c r="A274" s="0" t="s">
        <v>431</v>
      </c>
      <c r="B274" s="2" t="n">
        <v>45890</v>
      </c>
      <c r="C274" s="3" t="s">
        <v>36</v>
      </c>
      <c r="D274" s="3" t="s">
        <v>28</v>
      </c>
      <c r="E274" s="3" t="s">
        <v>69</v>
      </c>
      <c r="F274" s="0" t="n">
        <v>2</v>
      </c>
      <c r="G274" s="0" t="n">
        <v>450</v>
      </c>
      <c r="H274" s="0" t="n">
        <v>10</v>
      </c>
      <c r="I274" s="3" t="s">
        <v>217</v>
      </c>
      <c r="J274" s="0" t="n">
        <v>3</v>
      </c>
      <c r="K274" s="3" t="s">
        <v>34</v>
      </c>
      <c r="L274" s="0" t="str">
        <f aca="false">VLOOKUP(D274,Products!$A$2:$D$13,2,FALSE())</f>
        <v>Electronics</v>
      </c>
      <c r="M274" s="3" t="n">
        <f aca="false">F274*G274*(1-H274/100)</f>
        <v>810</v>
      </c>
      <c r="N274" s="0" t="str">
        <f aca="false">VLOOKUP(I274,Customers!$A$2:$D$121,3,FALSE())</f>
        <v>Nagpur</v>
      </c>
      <c r="O274" s="0" t="str">
        <f aca="false">VLOOKUP(I274,Customers!$A$2:$D$121,4,FALSE())</f>
        <v>Student</v>
      </c>
      <c r="P274" s="0" t="str">
        <f aca="false">TEXT(B274,"yyyy-mm")</f>
        <v>2025-08</v>
      </c>
    </row>
    <row r="275" customFormat="false" ht="15" hidden="false" customHeight="false" outlineLevel="0" collapsed="false">
      <c r="A275" s="0" t="s">
        <v>432</v>
      </c>
      <c r="B275" s="2" t="n">
        <v>46101</v>
      </c>
      <c r="C275" s="3" t="s">
        <v>36</v>
      </c>
      <c r="D275" s="3" t="s">
        <v>48</v>
      </c>
      <c r="E275" s="3" t="s">
        <v>69</v>
      </c>
      <c r="F275" s="0" t="n">
        <v>3</v>
      </c>
      <c r="G275" s="0" t="n">
        <v>199</v>
      </c>
      <c r="H275" s="0" t="n">
        <v>15</v>
      </c>
      <c r="I275" s="3" t="s">
        <v>96</v>
      </c>
      <c r="J275" s="0" t="n">
        <v>3</v>
      </c>
      <c r="K275" s="3" t="s">
        <v>34</v>
      </c>
      <c r="L275" s="0" t="str">
        <f aca="false">VLOOKUP(D275,Products!$A$2:$D$13,2,FALSE())</f>
        <v>Home</v>
      </c>
      <c r="M275" s="3" t="n">
        <f aca="false">F275*G275*(1-H275/100)</f>
        <v>507.45</v>
      </c>
      <c r="N275" s="0" t="str">
        <f aca="false">VLOOKUP(I275,Customers!$A$2:$D$121,3,FALSE())</f>
        <v>Delhi</v>
      </c>
      <c r="O275" s="0" t="str">
        <f aca="false">VLOOKUP(I275,Customers!$A$2:$D$121,4,FALSE())</f>
        <v>Retail</v>
      </c>
      <c r="P275" s="0" t="str">
        <f aca="false">TEXT(B275,"yyyy-mm")</f>
        <v>2026-03</v>
      </c>
    </row>
    <row r="276" customFormat="false" ht="15" hidden="false" customHeight="false" outlineLevel="0" collapsed="false">
      <c r="A276" s="0" t="s">
        <v>433</v>
      </c>
      <c r="B276" s="2" t="n">
        <v>46041</v>
      </c>
      <c r="C276" s="3" t="s">
        <v>17</v>
      </c>
      <c r="D276" s="3" t="s">
        <v>37</v>
      </c>
      <c r="E276" s="3" t="s">
        <v>93</v>
      </c>
      <c r="F276" s="0" t="n">
        <v>3</v>
      </c>
      <c r="G276" s="0" t="n">
        <v>500</v>
      </c>
      <c r="H276" s="0" t="n">
        <v>15</v>
      </c>
      <c r="I276" s="3" t="s">
        <v>106</v>
      </c>
      <c r="J276" s="0" t="n">
        <v>4</v>
      </c>
      <c r="K276" s="3" t="s">
        <v>34</v>
      </c>
      <c r="L276" s="0" t="str">
        <f aca="false">VLOOKUP(D276,Products!$A$2:$D$13,2,FALSE())</f>
        <v>Electronics</v>
      </c>
      <c r="M276" s="3" t="n">
        <f aca="false">F276*G276*(1-H276/100)</f>
        <v>1275</v>
      </c>
      <c r="N276" s="0" t="str">
        <f aca="false">VLOOKUP(I276,Customers!$A$2:$D$121,3,FALSE())</f>
        <v>Bhopal</v>
      </c>
      <c r="O276" s="0" t="str">
        <f aca="false">VLOOKUP(I276,Customers!$A$2:$D$121,4,FALSE())</f>
        <v>Corporate</v>
      </c>
      <c r="P276" s="0" t="str">
        <f aca="false">TEXT(B276,"yyyy-mm")</f>
        <v>2026-01</v>
      </c>
    </row>
    <row r="277" customFormat="false" ht="15" hidden="false" customHeight="false" outlineLevel="0" collapsed="false">
      <c r="A277" s="0" t="s">
        <v>434</v>
      </c>
      <c r="B277" s="2" t="n">
        <v>45769</v>
      </c>
      <c r="C277" s="3" t="s">
        <v>72</v>
      </c>
      <c r="D277" s="3" t="s">
        <v>108</v>
      </c>
      <c r="E277" s="3" t="s">
        <v>73</v>
      </c>
      <c r="F277" s="0" t="n">
        <v>4</v>
      </c>
      <c r="G277" s="0" t="n">
        <v>180</v>
      </c>
      <c r="H277" s="0" t="n">
        <v>0</v>
      </c>
      <c r="I277" s="3" t="s">
        <v>375</v>
      </c>
      <c r="J277" s="0" t="n">
        <v>2</v>
      </c>
      <c r="K277" s="3" t="s">
        <v>34</v>
      </c>
      <c r="L277" s="0" t="str">
        <f aca="false">VLOOKUP(D277,Products!$A$2:$D$13,2,FALSE())</f>
        <v>Stationery</v>
      </c>
      <c r="M277" s="3" t="n">
        <f aca="false">F277*G277*(1-H277/100)</f>
        <v>720</v>
      </c>
      <c r="N277" s="0" t="str">
        <f aca="false">VLOOKUP(I277,Customers!$A$2:$D$121,3,FALSE())</f>
        <v>Mumbai</v>
      </c>
      <c r="O277" s="0" t="str">
        <f aca="false">VLOOKUP(I277,Customers!$A$2:$D$121,4,FALSE())</f>
        <v>Student</v>
      </c>
      <c r="P277" s="0" t="str">
        <f aca="false">TEXT(B277,"yyyy-mm")</f>
        <v>2025-04</v>
      </c>
    </row>
    <row r="278" customFormat="false" ht="15" hidden="false" customHeight="false" outlineLevel="0" collapsed="false">
      <c r="A278" s="0" t="s">
        <v>435</v>
      </c>
      <c r="B278" s="2" t="n">
        <v>45857</v>
      </c>
      <c r="C278" s="3" t="s">
        <v>51</v>
      </c>
      <c r="D278" s="3" t="s">
        <v>48</v>
      </c>
      <c r="E278" s="3" t="s">
        <v>83</v>
      </c>
      <c r="F278" s="0" t="n">
        <v>1</v>
      </c>
      <c r="G278" s="0" t="n">
        <v>199</v>
      </c>
      <c r="H278" s="0" t="n">
        <v>0</v>
      </c>
      <c r="I278" s="3" t="s">
        <v>426</v>
      </c>
      <c r="J278" s="0" t="n">
        <v>4</v>
      </c>
      <c r="K278" s="3" t="s">
        <v>26</v>
      </c>
      <c r="L278" s="0" t="str">
        <f aca="false">VLOOKUP(D278,Products!$A$2:$D$13,2,FALSE())</f>
        <v>Home</v>
      </c>
      <c r="M278" s="3" t="n">
        <f aca="false">F278*G278*(1-H278/100)</f>
        <v>199</v>
      </c>
      <c r="N278" s="0" t="str">
        <f aca="false">VLOOKUP(I278,Customers!$A$2:$D$121,3,FALSE())</f>
        <v>Bhopal</v>
      </c>
      <c r="O278" s="0" t="str">
        <f aca="false">VLOOKUP(I278,Customers!$A$2:$D$121,4,FALSE())</f>
        <v>Corporate</v>
      </c>
      <c r="P278" s="0" t="str">
        <f aca="false">TEXT(B278,"yyyy-mm")</f>
        <v>2025-07</v>
      </c>
    </row>
    <row r="279" customFormat="false" ht="15" hidden="false" customHeight="false" outlineLevel="0" collapsed="false">
      <c r="A279" s="0" t="s">
        <v>436</v>
      </c>
      <c r="B279" s="2" t="n">
        <v>46048</v>
      </c>
      <c r="C279" s="3" t="s">
        <v>23</v>
      </c>
      <c r="D279" s="3" t="s">
        <v>45</v>
      </c>
      <c r="E279" s="3" t="s">
        <v>24</v>
      </c>
      <c r="F279" s="0" t="n">
        <v>1</v>
      </c>
      <c r="G279" s="0" t="n">
        <v>30</v>
      </c>
      <c r="H279" s="0" t="n">
        <v>0</v>
      </c>
      <c r="I279" s="3" t="s">
        <v>104</v>
      </c>
      <c r="J279" s="0" t="n">
        <v>2</v>
      </c>
      <c r="K279" s="3" t="s">
        <v>26</v>
      </c>
      <c r="L279" s="0" t="str">
        <f aca="false">VLOOKUP(D279,Products!$A$2:$D$13,2,FALSE())</f>
        <v>Stationery</v>
      </c>
      <c r="M279" s="3" t="n">
        <f aca="false">F279*G279*(1-H279/100)</f>
        <v>30</v>
      </c>
      <c r="N279" s="0" t="str">
        <f aca="false">VLOOKUP(I279,Customers!$A$2:$D$121,3,FALSE())</f>
        <v>Lucknow</v>
      </c>
      <c r="O279" s="0" t="str">
        <f aca="false">VLOOKUP(I279,Customers!$A$2:$D$121,4,FALSE())</f>
        <v>Student</v>
      </c>
      <c r="P279" s="0" t="str">
        <f aca="false">TEXT(B279,"yyyy-mm")</f>
        <v>2026-01</v>
      </c>
    </row>
    <row r="280" customFormat="false" ht="15" hidden="false" customHeight="false" outlineLevel="0" collapsed="false">
      <c r="A280" s="0" t="s">
        <v>437</v>
      </c>
      <c r="B280" s="2" t="n">
        <v>45959</v>
      </c>
      <c r="C280" s="3" t="s">
        <v>17</v>
      </c>
      <c r="D280" s="3" t="s">
        <v>60</v>
      </c>
      <c r="E280" s="3" t="s">
        <v>19</v>
      </c>
      <c r="F280" s="0" t="n">
        <v>1</v>
      </c>
      <c r="G280" s="0" t="n">
        <v>40</v>
      </c>
      <c r="H280" s="0" t="n">
        <v>0</v>
      </c>
      <c r="I280" s="3" t="s">
        <v>375</v>
      </c>
      <c r="J280" s="0" t="n">
        <v>4</v>
      </c>
      <c r="K280" s="3" t="s">
        <v>21</v>
      </c>
      <c r="L280" s="0" t="str">
        <f aca="false">VLOOKUP(D280,Products!$A$2:$D$13,2,FALSE())</f>
        <v>Stationery</v>
      </c>
      <c r="M280" s="3" t="n">
        <f aca="false">F280*G280*(1-H280/100)</f>
        <v>40</v>
      </c>
      <c r="N280" s="0" t="str">
        <f aca="false">VLOOKUP(I280,Customers!$A$2:$D$121,3,FALSE())</f>
        <v>Mumbai</v>
      </c>
      <c r="O280" s="0" t="str">
        <f aca="false">VLOOKUP(I280,Customers!$A$2:$D$121,4,FALSE())</f>
        <v>Student</v>
      </c>
      <c r="P280" s="0" t="str">
        <f aca="false">TEXT(B280,"yyyy-mm")</f>
        <v>2025-10</v>
      </c>
    </row>
    <row r="281" customFormat="false" ht="15" hidden="false" customHeight="false" outlineLevel="0" collapsed="false">
      <c r="A281" s="0" t="s">
        <v>438</v>
      </c>
      <c r="B281" s="2" t="n">
        <v>45956</v>
      </c>
      <c r="C281" s="3" t="s">
        <v>36</v>
      </c>
      <c r="D281" s="3" t="s">
        <v>57</v>
      </c>
      <c r="E281" s="3" t="s">
        <v>69</v>
      </c>
      <c r="F281" s="0" t="n">
        <v>2</v>
      </c>
      <c r="G281" s="0" t="n">
        <v>549</v>
      </c>
      <c r="H281" s="0" t="n">
        <v>15</v>
      </c>
      <c r="I281" s="3" t="s">
        <v>249</v>
      </c>
      <c r="J281" s="0" t="n">
        <v>5</v>
      </c>
      <c r="K281" s="3" t="s">
        <v>43</v>
      </c>
      <c r="L281" s="0" t="str">
        <f aca="false">VLOOKUP(D281,Products!$A$2:$D$13,2,FALSE())</f>
        <v>Accessories</v>
      </c>
      <c r="M281" s="3" t="n">
        <f aca="false">F281*G281*(1-H281/100)</f>
        <v>933.3</v>
      </c>
      <c r="N281" s="0" t="str">
        <f aca="false">VLOOKUP(I281,Customers!$A$2:$D$121,3,FALSE())</f>
        <v>Jaipur</v>
      </c>
      <c r="O281" s="0" t="str">
        <f aca="false">VLOOKUP(I281,Customers!$A$2:$D$121,4,FALSE())</f>
        <v>Retail</v>
      </c>
      <c r="P281" s="0" t="str">
        <f aca="false">TEXT(B281,"yyyy-mm")</f>
        <v>2025-10</v>
      </c>
    </row>
    <row r="282" customFormat="false" ht="15" hidden="false" customHeight="false" outlineLevel="0" collapsed="false">
      <c r="A282" s="0" t="s">
        <v>439</v>
      </c>
      <c r="B282" s="2" t="n">
        <v>45895</v>
      </c>
      <c r="C282" s="3" t="s">
        <v>36</v>
      </c>
      <c r="D282" s="3" t="s">
        <v>18</v>
      </c>
      <c r="E282" s="3" t="s">
        <v>38</v>
      </c>
      <c r="F282" s="0" t="n">
        <v>1</v>
      </c>
      <c r="G282" s="0" t="n">
        <v>349</v>
      </c>
      <c r="H282" s="0" t="n">
        <v>0</v>
      </c>
      <c r="I282" s="3" t="s">
        <v>154</v>
      </c>
      <c r="J282" s="0" t="n">
        <v>4</v>
      </c>
      <c r="K282" s="3" t="s">
        <v>26</v>
      </c>
      <c r="L282" s="0" t="str">
        <f aca="false">VLOOKUP(D282,Products!$A$2:$D$13,2,FALSE())</f>
        <v>Home</v>
      </c>
      <c r="M282" s="3" t="n">
        <f aca="false">F282*G282*(1-H282/100)</f>
        <v>349</v>
      </c>
      <c r="N282" s="0" t="str">
        <f aca="false">VLOOKUP(I282,Customers!$A$2:$D$121,3,FALSE())</f>
        <v>Lucknow</v>
      </c>
      <c r="O282" s="0" t="str">
        <f aca="false">VLOOKUP(I282,Customers!$A$2:$D$121,4,FALSE())</f>
        <v>Retail</v>
      </c>
      <c r="P282" s="0" t="str">
        <f aca="false">TEXT(B282,"yyyy-mm")</f>
        <v>2025-08</v>
      </c>
    </row>
    <row r="283" customFormat="false" ht="15" hidden="false" customHeight="false" outlineLevel="0" collapsed="false">
      <c r="A283" s="0" t="s">
        <v>440</v>
      </c>
      <c r="B283" s="2" t="n">
        <v>45837</v>
      </c>
      <c r="C283" s="3" t="s">
        <v>17</v>
      </c>
      <c r="D283" s="3" t="s">
        <v>57</v>
      </c>
      <c r="E283" s="3" t="s">
        <v>19</v>
      </c>
      <c r="F283" s="0" t="n">
        <v>2</v>
      </c>
      <c r="G283" s="0" t="n">
        <v>549</v>
      </c>
      <c r="H283" s="0" t="n">
        <v>5</v>
      </c>
      <c r="I283" s="3" t="s">
        <v>397</v>
      </c>
      <c r="J283" s="0" t="n">
        <v>5</v>
      </c>
      <c r="K283" s="3" t="s">
        <v>43</v>
      </c>
      <c r="L283" s="0" t="str">
        <f aca="false">VLOOKUP(D283,Products!$A$2:$D$13,2,FALSE())</f>
        <v>Accessories</v>
      </c>
      <c r="M283" s="3" t="n">
        <f aca="false">F283*G283*(1-H283/100)</f>
        <v>1043.1</v>
      </c>
      <c r="N283" s="0" t="str">
        <f aca="false">VLOOKUP(I283,Customers!$A$2:$D$121,3,FALSE())</f>
        <v>Indore</v>
      </c>
      <c r="O283" s="0" t="str">
        <f aca="false">VLOOKUP(I283,Customers!$A$2:$D$121,4,FALSE())</f>
        <v>Retail</v>
      </c>
      <c r="P283" s="0" t="str">
        <f aca="false">TEXT(B283,"yyyy-mm")</f>
        <v>2025-06</v>
      </c>
    </row>
    <row r="284" customFormat="false" ht="15" hidden="false" customHeight="false" outlineLevel="0" collapsed="false">
      <c r="A284" s="0" t="s">
        <v>441</v>
      </c>
      <c r="B284" s="2" t="n">
        <v>45896</v>
      </c>
      <c r="C284" s="3" t="s">
        <v>36</v>
      </c>
      <c r="D284" s="3" t="s">
        <v>32</v>
      </c>
      <c r="E284" s="3" t="s">
        <v>38</v>
      </c>
      <c r="F284" s="0" t="n">
        <v>2</v>
      </c>
      <c r="G284" s="0" t="n">
        <v>249</v>
      </c>
      <c r="H284" s="0" t="n">
        <v>0</v>
      </c>
      <c r="I284" s="3" t="s">
        <v>210</v>
      </c>
      <c r="J284" s="0" t="n">
        <v>3</v>
      </c>
      <c r="K284" s="3" t="s">
        <v>34</v>
      </c>
      <c r="L284" s="0" t="str">
        <f aca="false">VLOOKUP(D284,Products!$A$2:$D$13,2,FALSE())</f>
        <v>Accessories</v>
      </c>
      <c r="M284" s="3" t="n">
        <f aca="false">F284*G284*(1-H284/100)</f>
        <v>498</v>
      </c>
      <c r="N284" s="0" t="str">
        <f aca="false">VLOOKUP(I284,Customers!$A$2:$D$121,3,FALSE())</f>
        <v>Indore</v>
      </c>
      <c r="O284" s="0" t="str">
        <f aca="false">VLOOKUP(I284,Customers!$A$2:$D$121,4,FALSE())</f>
        <v>Student</v>
      </c>
      <c r="P284" s="0" t="str">
        <f aca="false">TEXT(B284,"yyyy-mm")</f>
        <v>2025-08</v>
      </c>
    </row>
    <row r="285" customFormat="false" ht="15" hidden="false" customHeight="false" outlineLevel="0" collapsed="false">
      <c r="A285" s="0" t="s">
        <v>442</v>
      </c>
      <c r="B285" s="2" t="n">
        <v>46076</v>
      </c>
      <c r="C285" s="3" t="s">
        <v>51</v>
      </c>
      <c r="D285" s="3" t="s">
        <v>37</v>
      </c>
      <c r="E285" s="3" t="s">
        <v>52</v>
      </c>
      <c r="F285" s="0" t="n">
        <v>1</v>
      </c>
      <c r="G285" s="0" t="n">
        <v>500</v>
      </c>
      <c r="H285" s="0" t="n">
        <v>10</v>
      </c>
      <c r="I285" s="3" t="s">
        <v>165</v>
      </c>
      <c r="J285" s="0" t="n">
        <v>4</v>
      </c>
      <c r="K285" s="3" t="s">
        <v>43</v>
      </c>
      <c r="L285" s="0" t="str">
        <f aca="false">VLOOKUP(D285,Products!$A$2:$D$13,2,FALSE())</f>
        <v>Electronics</v>
      </c>
      <c r="M285" s="3" t="n">
        <f aca="false">F285*G285*(1-H285/100)</f>
        <v>450</v>
      </c>
      <c r="N285" s="0" t="str">
        <f aca="false">VLOOKUP(I285,Customers!$A$2:$D$121,3,FALSE())</f>
        <v>Mumbai</v>
      </c>
      <c r="O285" s="0" t="str">
        <f aca="false">VLOOKUP(I285,Customers!$A$2:$D$121,4,FALSE())</f>
        <v>Retail</v>
      </c>
      <c r="P285" s="0" t="str">
        <f aca="false">TEXT(B285,"yyyy-mm")</f>
        <v>2026-02</v>
      </c>
    </row>
    <row r="286" customFormat="false" ht="15" hidden="false" customHeight="false" outlineLevel="0" collapsed="false">
      <c r="A286" s="0" t="s">
        <v>443</v>
      </c>
      <c r="B286" s="2" t="n">
        <v>45805</v>
      </c>
      <c r="C286" s="3" t="s">
        <v>36</v>
      </c>
      <c r="D286" s="3" t="s">
        <v>37</v>
      </c>
      <c r="E286" s="3" t="s">
        <v>69</v>
      </c>
      <c r="F286" s="0" t="n">
        <v>2</v>
      </c>
      <c r="G286" s="0" t="n">
        <v>500</v>
      </c>
      <c r="H286" s="0" t="n">
        <v>0</v>
      </c>
      <c r="I286" s="3" t="s">
        <v>359</v>
      </c>
      <c r="J286" s="0" t="n">
        <v>5</v>
      </c>
      <c r="K286" s="3" t="s">
        <v>26</v>
      </c>
      <c r="L286" s="0" t="str">
        <f aca="false">VLOOKUP(D286,Products!$A$2:$D$13,2,FALSE())</f>
        <v>Electronics</v>
      </c>
      <c r="M286" s="3" t="n">
        <f aca="false">F286*G286*(1-H286/100)</f>
        <v>1000</v>
      </c>
      <c r="N286" s="0" t="str">
        <f aca="false">VLOOKUP(I286,Customers!$A$2:$D$121,3,FALSE())</f>
        <v>Mumbai</v>
      </c>
      <c r="O286" s="0" t="str">
        <f aca="false">VLOOKUP(I286,Customers!$A$2:$D$121,4,FALSE())</f>
        <v>Retail</v>
      </c>
      <c r="P286" s="0" t="str">
        <f aca="false">TEXT(B286,"yyyy-mm")</f>
        <v>2025-05</v>
      </c>
    </row>
    <row r="287" customFormat="false" ht="15" hidden="false" customHeight="false" outlineLevel="0" collapsed="false">
      <c r="A287" s="0" t="s">
        <v>444</v>
      </c>
      <c r="B287" s="2" t="n">
        <v>45899</v>
      </c>
      <c r="C287" s="3" t="s">
        <v>72</v>
      </c>
      <c r="D287" s="3" t="s">
        <v>60</v>
      </c>
      <c r="E287" s="3" t="s">
        <v>89</v>
      </c>
      <c r="F287" s="0" t="n">
        <v>1</v>
      </c>
      <c r="G287" s="0" t="n">
        <v>40</v>
      </c>
      <c r="H287" s="0" t="n">
        <v>10</v>
      </c>
      <c r="I287" s="3" t="s">
        <v>152</v>
      </c>
      <c r="J287" s="0" t="n">
        <v>5</v>
      </c>
      <c r="K287" s="3" t="s">
        <v>43</v>
      </c>
      <c r="L287" s="0" t="str">
        <f aca="false">VLOOKUP(D287,Products!$A$2:$D$13,2,FALSE())</f>
        <v>Stationery</v>
      </c>
      <c r="M287" s="3" t="n">
        <f aca="false">F287*G287*(1-H287/100)</f>
        <v>36</v>
      </c>
      <c r="N287" s="0" t="str">
        <f aca="false">VLOOKUP(I287,Customers!$A$2:$D$121,3,FALSE())</f>
        <v>Bhopal</v>
      </c>
      <c r="O287" s="0" t="str">
        <f aca="false">VLOOKUP(I287,Customers!$A$2:$D$121,4,FALSE())</f>
        <v>Corporate</v>
      </c>
      <c r="P287" s="0" t="str">
        <f aca="false">TEXT(B287,"yyyy-mm")</f>
        <v>2025-08</v>
      </c>
    </row>
    <row r="288" customFormat="false" ht="15" hidden="false" customHeight="false" outlineLevel="0" collapsed="false">
      <c r="A288" s="0" t="s">
        <v>445</v>
      </c>
      <c r="B288" s="2" t="n">
        <v>45915</v>
      </c>
      <c r="C288" s="3" t="s">
        <v>23</v>
      </c>
      <c r="D288" s="3" t="s">
        <v>88</v>
      </c>
      <c r="E288" s="3" t="s">
        <v>24</v>
      </c>
      <c r="F288" s="0" t="n">
        <v>1</v>
      </c>
      <c r="G288" s="0" t="n">
        <v>799</v>
      </c>
      <c r="H288" s="0" t="n">
        <v>0</v>
      </c>
      <c r="I288" s="3" t="s">
        <v>61</v>
      </c>
      <c r="J288" s="0" t="n">
        <v>4</v>
      </c>
      <c r="K288" s="3" t="s">
        <v>26</v>
      </c>
      <c r="L288" s="0" t="str">
        <f aca="false">VLOOKUP(D288,Products!$A$2:$D$13,2,FALSE())</f>
        <v>Accessories</v>
      </c>
      <c r="M288" s="3" t="n">
        <f aca="false">F288*G288*(1-H288/100)</f>
        <v>799</v>
      </c>
      <c r="N288" s="0" t="str">
        <f aca="false">VLOOKUP(I288,Customers!$A$2:$D$121,3,FALSE())</f>
        <v>Delhi</v>
      </c>
      <c r="O288" s="0" t="str">
        <f aca="false">VLOOKUP(I288,Customers!$A$2:$D$121,4,FALSE())</f>
        <v>Retail</v>
      </c>
      <c r="P288" s="0" t="str">
        <f aca="false">TEXT(B288,"yyyy-mm")</f>
        <v>2025-09</v>
      </c>
    </row>
    <row r="289" customFormat="false" ht="15" hidden="false" customHeight="false" outlineLevel="0" collapsed="false">
      <c r="A289" s="0" t="s">
        <v>446</v>
      </c>
      <c r="B289" s="2" t="n">
        <v>45875</v>
      </c>
      <c r="C289" s="3" t="s">
        <v>72</v>
      </c>
      <c r="D289" s="3" t="s">
        <v>32</v>
      </c>
      <c r="E289" s="3" t="s">
        <v>73</v>
      </c>
      <c r="F289" s="0" t="n">
        <v>3</v>
      </c>
      <c r="G289" s="0" t="n">
        <v>249</v>
      </c>
      <c r="H289" s="0" t="n">
        <v>0</v>
      </c>
      <c r="I289" s="3" t="s">
        <v>447</v>
      </c>
      <c r="J289" s="0" t="n">
        <v>4</v>
      </c>
      <c r="K289" s="3" t="s">
        <v>34</v>
      </c>
      <c r="L289" s="0" t="str">
        <f aca="false">VLOOKUP(D289,Products!$A$2:$D$13,2,FALSE())</f>
        <v>Accessories</v>
      </c>
      <c r="M289" s="3" t="n">
        <f aca="false">F289*G289*(1-H289/100)</f>
        <v>747</v>
      </c>
      <c r="N289" s="0" t="str">
        <f aca="false">VLOOKUP(I289,Customers!$A$2:$D$121,3,FALSE())</f>
        <v>Indore</v>
      </c>
      <c r="O289" s="0" t="str">
        <f aca="false">VLOOKUP(I289,Customers!$A$2:$D$121,4,FALSE())</f>
        <v>Student</v>
      </c>
      <c r="P289" s="0" t="str">
        <f aca="false">TEXT(B289,"yyyy-mm")</f>
        <v>2025-08</v>
      </c>
    </row>
    <row r="290" customFormat="false" ht="15" hidden="false" customHeight="false" outlineLevel="0" collapsed="false">
      <c r="A290" s="0" t="s">
        <v>448</v>
      </c>
      <c r="B290" s="2" t="n">
        <v>46046</v>
      </c>
      <c r="C290" s="3" t="s">
        <v>72</v>
      </c>
      <c r="D290" s="3" t="s">
        <v>41</v>
      </c>
      <c r="E290" s="3" t="s">
        <v>73</v>
      </c>
      <c r="F290" s="0" t="n">
        <v>1</v>
      </c>
      <c r="G290" s="0" t="n">
        <v>399</v>
      </c>
      <c r="H290" s="0" t="n">
        <v>15</v>
      </c>
      <c r="I290" s="3" t="s">
        <v>254</v>
      </c>
      <c r="J290" s="0" t="n">
        <v>1</v>
      </c>
      <c r="K290" s="3" t="s">
        <v>26</v>
      </c>
      <c r="L290" s="0" t="str">
        <f aca="false">VLOOKUP(D290,Products!$A$2:$D$13,2,FALSE())</f>
        <v>Electronics</v>
      </c>
      <c r="M290" s="3" t="n">
        <f aca="false">F290*G290*(1-H290/100)</f>
        <v>339.15</v>
      </c>
      <c r="N290" s="0" t="str">
        <f aca="false">VLOOKUP(I290,Customers!$A$2:$D$121,3,FALSE())</f>
        <v>Pune</v>
      </c>
      <c r="O290" s="0" t="str">
        <f aca="false">VLOOKUP(I290,Customers!$A$2:$D$121,4,FALSE())</f>
        <v>Student</v>
      </c>
      <c r="P290" s="0" t="str">
        <f aca="false">TEXT(B290,"yyyy-mm")</f>
        <v>2026-01</v>
      </c>
    </row>
    <row r="291" customFormat="false" ht="15" hidden="false" customHeight="false" outlineLevel="0" collapsed="false">
      <c r="A291" s="0" t="s">
        <v>449</v>
      </c>
      <c r="B291" s="2" t="n">
        <v>45986</v>
      </c>
      <c r="C291" s="3" t="s">
        <v>17</v>
      </c>
      <c r="D291" s="3" t="s">
        <v>60</v>
      </c>
      <c r="E291" s="3" t="s">
        <v>93</v>
      </c>
      <c r="F291" s="0" t="n">
        <v>1</v>
      </c>
      <c r="G291" s="0" t="n">
        <v>40</v>
      </c>
      <c r="H291" s="0" t="n">
        <v>0</v>
      </c>
      <c r="I291" s="3" t="s">
        <v>359</v>
      </c>
      <c r="J291" s="0" t="n">
        <v>4</v>
      </c>
      <c r="K291" s="3" t="s">
        <v>21</v>
      </c>
      <c r="L291" s="0" t="str">
        <f aca="false">VLOOKUP(D291,Products!$A$2:$D$13,2,FALSE())</f>
        <v>Stationery</v>
      </c>
      <c r="M291" s="3" t="n">
        <f aca="false">F291*G291*(1-H291/100)</f>
        <v>40</v>
      </c>
      <c r="N291" s="0" t="str">
        <f aca="false">VLOOKUP(I291,Customers!$A$2:$D$121,3,FALSE())</f>
        <v>Mumbai</v>
      </c>
      <c r="O291" s="0" t="str">
        <f aca="false">VLOOKUP(I291,Customers!$A$2:$D$121,4,FALSE())</f>
        <v>Retail</v>
      </c>
      <c r="P291" s="0" t="str">
        <f aca="false">TEXT(B291,"yyyy-mm")</f>
        <v>2025-11</v>
      </c>
    </row>
    <row r="292" customFormat="false" ht="15" hidden="false" customHeight="false" outlineLevel="0" collapsed="false">
      <c r="A292" s="0" t="s">
        <v>450</v>
      </c>
      <c r="B292" s="2" t="n">
        <v>45936</v>
      </c>
      <c r="C292" s="3" t="s">
        <v>72</v>
      </c>
      <c r="D292" s="3" t="s">
        <v>18</v>
      </c>
      <c r="E292" s="3" t="s">
        <v>89</v>
      </c>
      <c r="F292" s="0" t="n">
        <v>2</v>
      </c>
      <c r="G292" s="0" t="n">
        <v>349</v>
      </c>
      <c r="H292" s="0" t="n">
        <v>10</v>
      </c>
      <c r="I292" s="3" t="s">
        <v>203</v>
      </c>
      <c r="J292" s="0" t="n">
        <v>3</v>
      </c>
      <c r="K292" s="3" t="s">
        <v>43</v>
      </c>
      <c r="L292" s="0" t="str">
        <f aca="false">VLOOKUP(D292,Products!$A$2:$D$13,2,FALSE())</f>
        <v>Home</v>
      </c>
      <c r="M292" s="3" t="n">
        <f aca="false">F292*G292*(1-H292/100)</f>
        <v>628.2</v>
      </c>
      <c r="N292" s="0" t="str">
        <f aca="false">VLOOKUP(I292,Customers!$A$2:$D$121,3,FALSE())</f>
        <v>Jaipur</v>
      </c>
      <c r="O292" s="0" t="str">
        <f aca="false">VLOOKUP(I292,Customers!$A$2:$D$121,4,FALSE())</f>
        <v>Corporate</v>
      </c>
      <c r="P292" s="0" t="str">
        <f aca="false">TEXT(B292,"yyyy-mm")</f>
        <v>2025-10</v>
      </c>
    </row>
    <row r="293" customFormat="false" ht="15" hidden="false" customHeight="false" outlineLevel="0" collapsed="false">
      <c r="A293" s="0" t="s">
        <v>451</v>
      </c>
      <c r="B293" s="2" t="n">
        <v>46058</v>
      </c>
      <c r="C293" s="3" t="s">
        <v>51</v>
      </c>
      <c r="D293" s="3" t="s">
        <v>108</v>
      </c>
      <c r="E293" s="3" t="s">
        <v>83</v>
      </c>
      <c r="F293" s="0" t="n">
        <v>3</v>
      </c>
      <c r="G293" s="0" t="n">
        <v>180</v>
      </c>
      <c r="H293" s="0" t="n">
        <v>0</v>
      </c>
      <c r="I293" s="3" t="s">
        <v>322</v>
      </c>
      <c r="J293" s="0" t="n">
        <v>4</v>
      </c>
      <c r="K293" s="3" t="s">
        <v>26</v>
      </c>
      <c r="L293" s="0" t="str">
        <f aca="false">VLOOKUP(D293,Products!$A$2:$D$13,2,FALSE())</f>
        <v>Stationery</v>
      </c>
      <c r="M293" s="3" t="n">
        <f aca="false">F293*G293*(1-H293/100)</f>
        <v>540</v>
      </c>
      <c r="N293" s="0" t="str">
        <f aca="false">VLOOKUP(I293,Customers!$A$2:$D$121,3,FALSE())</f>
        <v>Kolkata</v>
      </c>
      <c r="O293" s="0" t="str">
        <f aca="false">VLOOKUP(I293,Customers!$A$2:$D$121,4,FALSE())</f>
        <v>Retail</v>
      </c>
      <c r="P293" s="0" t="str">
        <f aca="false">TEXT(B293,"yyyy-mm")</f>
        <v>2026-02</v>
      </c>
    </row>
    <row r="294" customFormat="false" ht="15" hidden="false" customHeight="false" outlineLevel="0" collapsed="false">
      <c r="A294" s="0" t="s">
        <v>452</v>
      </c>
      <c r="B294" s="2" t="n">
        <v>45789</v>
      </c>
      <c r="C294" s="3" t="s">
        <v>23</v>
      </c>
      <c r="D294" s="3" t="s">
        <v>28</v>
      </c>
      <c r="E294" s="3" t="s">
        <v>29</v>
      </c>
      <c r="F294" s="0" t="n">
        <v>1</v>
      </c>
      <c r="G294" s="0" t="n">
        <v>450</v>
      </c>
      <c r="H294" s="0" t="n">
        <v>10</v>
      </c>
      <c r="I294" s="3" t="s">
        <v>90</v>
      </c>
      <c r="J294" s="0" t="n">
        <v>4</v>
      </c>
      <c r="K294" s="3" t="s">
        <v>21</v>
      </c>
      <c r="L294" s="0" t="str">
        <f aca="false">VLOOKUP(D294,Products!$A$2:$D$13,2,FALSE())</f>
        <v>Electronics</v>
      </c>
      <c r="M294" s="3" t="n">
        <f aca="false">F294*G294*(1-H294/100)</f>
        <v>405</v>
      </c>
      <c r="N294" s="0" t="str">
        <f aca="false">VLOOKUP(I294,Customers!$A$2:$D$121,3,FALSE())</f>
        <v>Jaipur</v>
      </c>
      <c r="O294" s="0" t="str">
        <f aca="false">VLOOKUP(I294,Customers!$A$2:$D$121,4,FALSE())</f>
        <v>Corporate</v>
      </c>
      <c r="P294" s="0" t="str">
        <f aca="false">TEXT(B294,"yyyy-mm")</f>
        <v>2025-05</v>
      </c>
    </row>
    <row r="295" customFormat="false" ht="15" hidden="false" customHeight="false" outlineLevel="0" collapsed="false">
      <c r="A295" s="0" t="s">
        <v>453</v>
      </c>
      <c r="B295" s="2" t="n">
        <v>45779</v>
      </c>
      <c r="C295" s="3" t="s">
        <v>17</v>
      </c>
      <c r="D295" s="3" t="s">
        <v>116</v>
      </c>
      <c r="E295" s="3" t="s">
        <v>19</v>
      </c>
      <c r="F295" s="0" t="n">
        <v>2</v>
      </c>
      <c r="G295" s="0" t="n">
        <v>699</v>
      </c>
      <c r="H295" s="0" t="n">
        <v>10</v>
      </c>
      <c r="I295" s="3" t="s">
        <v>94</v>
      </c>
      <c r="J295" s="0" t="n">
        <v>4</v>
      </c>
      <c r="K295" s="3" t="s">
        <v>26</v>
      </c>
      <c r="L295" s="0" t="str">
        <f aca="false">VLOOKUP(D295,Products!$A$2:$D$13,2,FALSE())</f>
        <v>Home</v>
      </c>
      <c r="M295" s="3" t="n">
        <f aca="false">F295*G295*(1-H295/100)</f>
        <v>1258.2</v>
      </c>
      <c r="N295" s="0" t="str">
        <f aca="false">VLOOKUP(I295,Customers!$A$2:$D$121,3,FALSE())</f>
        <v>Chennai</v>
      </c>
      <c r="O295" s="0" t="str">
        <f aca="false">VLOOKUP(I295,Customers!$A$2:$D$121,4,FALSE())</f>
        <v>Corporate</v>
      </c>
      <c r="P295" s="0" t="str">
        <f aca="false">TEXT(B295,"yyyy-mm")</f>
        <v>2025-05</v>
      </c>
    </row>
    <row r="296" customFormat="false" ht="15" hidden="false" customHeight="false" outlineLevel="0" collapsed="false">
      <c r="A296" s="0" t="s">
        <v>454</v>
      </c>
      <c r="B296" s="2" t="n">
        <v>45974</v>
      </c>
      <c r="C296" s="3" t="s">
        <v>23</v>
      </c>
      <c r="D296" s="3" t="s">
        <v>41</v>
      </c>
      <c r="E296" s="3" t="s">
        <v>29</v>
      </c>
      <c r="F296" s="0" t="n">
        <v>1</v>
      </c>
      <c r="G296" s="0" t="n">
        <v>399</v>
      </c>
      <c r="H296" s="0" t="n">
        <v>0</v>
      </c>
      <c r="I296" s="3" t="s">
        <v>74</v>
      </c>
      <c r="J296" s="0" t="n">
        <v>3</v>
      </c>
      <c r="K296" s="3" t="s">
        <v>21</v>
      </c>
      <c r="L296" s="0" t="str">
        <f aca="false">VLOOKUP(D296,Products!$A$2:$D$13,2,FALSE())</f>
        <v>Electronics</v>
      </c>
      <c r="M296" s="3" t="n">
        <f aca="false">F296*G296*(1-H296/100)</f>
        <v>399</v>
      </c>
      <c r="N296" s="0" t="str">
        <f aca="false">VLOOKUP(I296,Customers!$A$2:$D$121,3,FALSE())</f>
        <v>Lucknow</v>
      </c>
      <c r="O296" s="0" t="str">
        <f aca="false">VLOOKUP(I296,Customers!$A$2:$D$121,4,FALSE())</f>
        <v>Retail</v>
      </c>
      <c r="P296" s="0" t="str">
        <f aca="false">TEXT(B296,"yyyy-mm")</f>
        <v>2025-11</v>
      </c>
    </row>
    <row r="297" customFormat="false" ht="15" hidden="false" customHeight="false" outlineLevel="0" collapsed="false">
      <c r="A297" s="0" t="s">
        <v>455</v>
      </c>
      <c r="B297" s="2" t="n">
        <v>45776</v>
      </c>
      <c r="C297" s="3" t="s">
        <v>51</v>
      </c>
      <c r="D297" s="3" t="s">
        <v>57</v>
      </c>
      <c r="E297" s="3" t="s">
        <v>83</v>
      </c>
      <c r="F297" s="0" t="n">
        <v>1</v>
      </c>
      <c r="G297" s="0" t="n">
        <v>549</v>
      </c>
      <c r="H297" s="0" t="n">
        <v>5</v>
      </c>
      <c r="I297" s="3" t="s">
        <v>123</v>
      </c>
      <c r="J297" s="0" t="n">
        <v>4</v>
      </c>
      <c r="K297" s="3" t="s">
        <v>21</v>
      </c>
      <c r="L297" s="0" t="str">
        <f aca="false">VLOOKUP(D297,Products!$A$2:$D$13,2,FALSE())</f>
        <v>Accessories</v>
      </c>
      <c r="M297" s="3" t="n">
        <f aca="false">F297*G297*(1-H297/100)</f>
        <v>521.55</v>
      </c>
      <c r="N297" s="0" t="str">
        <f aca="false">VLOOKUP(I297,Customers!$A$2:$D$121,3,FALSE())</f>
        <v>Chennai</v>
      </c>
      <c r="O297" s="0" t="str">
        <f aca="false">VLOOKUP(I297,Customers!$A$2:$D$121,4,FALSE())</f>
        <v>Student</v>
      </c>
      <c r="P297" s="0" t="str">
        <f aca="false">TEXT(B297,"yyyy-mm")</f>
        <v>2025-04</v>
      </c>
    </row>
    <row r="298" customFormat="false" ht="15" hidden="false" customHeight="false" outlineLevel="0" collapsed="false">
      <c r="A298" s="0" t="s">
        <v>456</v>
      </c>
      <c r="B298" s="2" t="n">
        <v>46092</v>
      </c>
      <c r="C298" s="3" t="s">
        <v>51</v>
      </c>
      <c r="D298" s="3" t="s">
        <v>57</v>
      </c>
      <c r="E298" s="3" t="s">
        <v>83</v>
      </c>
      <c r="F298" s="0" t="n">
        <v>2</v>
      </c>
      <c r="G298" s="0" t="n">
        <v>549</v>
      </c>
      <c r="H298" s="0" t="n">
        <v>0</v>
      </c>
      <c r="I298" s="3" t="s">
        <v>284</v>
      </c>
      <c r="J298" s="0" t="n">
        <v>1</v>
      </c>
      <c r="K298" s="3" t="s">
        <v>21</v>
      </c>
      <c r="L298" s="0" t="str">
        <f aca="false">VLOOKUP(D298,Products!$A$2:$D$13,2,FALSE())</f>
        <v>Accessories</v>
      </c>
      <c r="M298" s="3" t="n">
        <f aca="false">F298*G298*(1-H298/100)</f>
        <v>1098</v>
      </c>
      <c r="N298" s="0" t="str">
        <f aca="false">VLOOKUP(I298,Customers!$A$2:$D$121,3,FALSE())</f>
        <v>Jaipur</v>
      </c>
      <c r="O298" s="0" t="str">
        <f aca="false">VLOOKUP(I298,Customers!$A$2:$D$121,4,FALSE())</f>
        <v>Retail</v>
      </c>
      <c r="P298" s="0" t="str">
        <f aca="false">TEXT(B298,"yyyy-mm")</f>
        <v>2026-03</v>
      </c>
    </row>
    <row r="299" customFormat="false" ht="15" hidden="false" customHeight="false" outlineLevel="0" collapsed="false">
      <c r="A299" s="0" t="s">
        <v>457</v>
      </c>
      <c r="B299" s="2" t="n">
        <v>46044</v>
      </c>
      <c r="C299" s="3" t="s">
        <v>36</v>
      </c>
      <c r="D299" s="3" t="s">
        <v>48</v>
      </c>
      <c r="E299" s="3" t="s">
        <v>38</v>
      </c>
      <c r="F299" s="0" t="n">
        <v>2</v>
      </c>
      <c r="G299" s="0" t="n">
        <v>199</v>
      </c>
      <c r="H299" s="0" t="n">
        <v>0</v>
      </c>
      <c r="I299" s="3" t="s">
        <v>158</v>
      </c>
      <c r="J299" s="0" t="n">
        <v>4</v>
      </c>
      <c r="K299" s="3" t="s">
        <v>21</v>
      </c>
      <c r="L299" s="0" t="str">
        <f aca="false">VLOOKUP(D299,Products!$A$2:$D$13,2,FALSE())</f>
        <v>Home</v>
      </c>
      <c r="M299" s="3" t="n">
        <f aca="false">F299*G299*(1-H299/100)</f>
        <v>398</v>
      </c>
      <c r="N299" s="0" t="str">
        <f aca="false">VLOOKUP(I299,Customers!$A$2:$D$121,3,FALSE())</f>
        <v>Mumbai</v>
      </c>
      <c r="O299" s="0" t="str">
        <f aca="false">VLOOKUP(I299,Customers!$A$2:$D$121,4,FALSE())</f>
        <v>Retail</v>
      </c>
      <c r="P299" s="0" t="str">
        <f aca="false">TEXT(B299,"yyyy-mm")</f>
        <v>2026-01</v>
      </c>
    </row>
    <row r="300" customFormat="false" ht="15" hidden="false" customHeight="false" outlineLevel="0" collapsed="false">
      <c r="A300" s="0" t="s">
        <v>458</v>
      </c>
      <c r="B300" s="2" t="n">
        <v>45764</v>
      </c>
      <c r="C300" s="3" t="s">
        <v>51</v>
      </c>
      <c r="D300" s="3" t="s">
        <v>45</v>
      </c>
      <c r="E300" s="3" t="s">
        <v>52</v>
      </c>
      <c r="F300" s="0" t="n">
        <v>2</v>
      </c>
      <c r="G300" s="0" t="n">
        <v>30</v>
      </c>
      <c r="H300" s="0" t="n">
        <v>0</v>
      </c>
      <c r="I300" s="3" t="s">
        <v>237</v>
      </c>
      <c r="J300" s="0" t="n">
        <v>3</v>
      </c>
      <c r="K300" s="3" t="s">
        <v>43</v>
      </c>
      <c r="L300" s="0" t="str">
        <f aca="false">VLOOKUP(D300,Products!$A$2:$D$13,2,FALSE())</f>
        <v>Stationery</v>
      </c>
      <c r="M300" s="3" t="n">
        <f aca="false">F300*G300*(1-H300/100)</f>
        <v>60</v>
      </c>
      <c r="N300" s="0" t="str">
        <f aca="false">VLOOKUP(I300,Customers!$A$2:$D$121,3,FALSE())</f>
        <v>Jaipur</v>
      </c>
      <c r="O300" s="0" t="str">
        <f aca="false">VLOOKUP(I300,Customers!$A$2:$D$121,4,FALSE())</f>
        <v>Retail</v>
      </c>
      <c r="P300" s="0" t="str">
        <f aca="false">TEXT(B300,"yyyy-mm")</f>
        <v>2025-04</v>
      </c>
    </row>
    <row r="301" customFormat="false" ht="15" hidden="false" customHeight="false" outlineLevel="0" collapsed="false">
      <c r="A301" s="0" t="s">
        <v>459</v>
      </c>
      <c r="B301" s="2" t="n">
        <v>45977</v>
      </c>
      <c r="C301" s="3" t="s">
        <v>51</v>
      </c>
      <c r="D301" s="3" t="s">
        <v>41</v>
      </c>
      <c r="E301" s="3" t="s">
        <v>52</v>
      </c>
      <c r="F301" s="0" t="n">
        <v>3</v>
      </c>
      <c r="G301" s="0" t="n">
        <v>399</v>
      </c>
      <c r="H301" s="0" t="n">
        <v>5</v>
      </c>
      <c r="I301" s="3" t="s">
        <v>58</v>
      </c>
      <c r="J301" s="0" t="n">
        <v>2</v>
      </c>
      <c r="K301" s="3" t="s">
        <v>34</v>
      </c>
      <c r="L301" s="0" t="str">
        <f aca="false">VLOOKUP(D301,Products!$A$2:$D$13,2,FALSE())</f>
        <v>Electronics</v>
      </c>
      <c r="M301" s="3" t="n">
        <f aca="false">F301*G301*(1-H301/100)</f>
        <v>1137.15</v>
      </c>
      <c r="N301" s="0" t="str">
        <f aca="false">VLOOKUP(I301,Customers!$A$2:$D$121,3,FALSE())</f>
        <v>Kolkata</v>
      </c>
      <c r="O301" s="0" t="str">
        <f aca="false">VLOOKUP(I301,Customers!$A$2:$D$121,4,FALSE())</f>
        <v>Corporate</v>
      </c>
      <c r="P301" s="0" t="str">
        <f aca="false">TEXT(B301,"yyyy-mm")</f>
        <v>2025-11</v>
      </c>
    </row>
    <row r="302" customFormat="false" ht="15" hidden="false" customHeight="false" outlineLevel="0" collapsed="false">
      <c r="A302" s="0" t="s">
        <v>460</v>
      </c>
      <c r="B302" s="2" t="n">
        <v>46023</v>
      </c>
      <c r="C302" s="3" t="s">
        <v>36</v>
      </c>
      <c r="D302" s="3" t="s">
        <v>45</v>
      </c>
      <c r="E302" s="3" t="s">
        <v>38</v>
      </c>
      <c r="F302" s="0" t="n">
        <v>7</v>
      </c>
      <c r="G302" s="0" t="n">
        <v>30</v>
      </c>
      <c r="H302" s="0" t="n">
        <v>5</v>
      </c>
      <c r="I302" s="3" t="s">
        <v>165</v>
      </c>
      <c r="J302" s="0" t="n">
        <v>2</v>
      </c>
      <c r="K302" s="3" t="s">
        <v>21</v>
      </c>
      <c r="L302" s="0" t="str">
        <f aca="false">VLOOKUP(D302,Products!$A$2:$D$13,2,FALSE())</f>
        <v>Stationery</v>
      </c>
      <c r="M302" s="3" t="n">
        <f aca="false">F302*G302*(1-H302/100)</f>
        <v>199.5</v>
      </c>
      <c r="N302" s="0" t="str">
        <f aca="false">VLOOKUP(I302,Customers!$A$2:$D$121,3,FALSE())</f>
        <v>Mumbai</v>
      </c>
      <c r="O302" s="0" t="str">
        <f aca="false">VLOOKUP(I302,Customers!$A$2:$D$121,4,FALSE())</f>
        <v>Retail</v>
      </c>
      <c r="P302" s="0" t="str">
        <f aca="false">TEXT(B302,"yyyy-mm")</f>
        <v>2026-01</v>
      </c>
    </row>
    <row r="303" customFormat="false" ht="15" hidden="false" customHeight="false" outlineLevel="0" collapsed="false">
      <c r="A303" s="0" t="s">
        <v>461</v>
      </c>
      <c r="B303" s="2" t="n">
        <v>45985</v>
      </c>
      <c r="C303" s="3" t="s">
        <v>72</v>
      </c>
      <c r="D303" s="3" t="s">
        <v>60</v>
      </c>
      <c r="E303" s="3" t="s">
        <v>73</v>
      </c>
      <c r="F303" s="0" t="n">
        <v>2</v>
      </c>
      <c r="G303" s="0" t="n">
        <v>40</v>
      </c>
      <c r="H303" s="0" t="n">
        <v>15</v>
      </c>
      <c r="I303" s="3" t="s">
        <v>284</v>
      </c>
      <c r="J303" s="0" t="n">
        <v>4</v>
      </c>
      <c r="K303" s="3" t="s">
        <v>26</v>
      </c>
      <c r="L303" s="0" t="str">
        <f aca="false">VLOOKUP(D303,Products!$A$2:$D$13,2,FALSE())</f>
        <v>Stationery</v>
      </c>
      <c r="M303" s="3" t="n">
        <f aca="false">F303*G303*(1-H303/100)</f>
        <v>68</v>
      </c>
      <c r="N303" s="0" t="str">
        <f aca="false">VLOOKUP(I303,Customers!$A$2:$D$121,3,FALSE())</f>
        <v>Jaipur</v>
      </c>
      <c r="O303" s="0" t="str">
        <f aca="false">VLOOKUP(I303,Customers!$A$2:$D$121,4,FALSE())</f>
        <v>Retail</v>
      </c>
      <c r="P303" s="0" t="str">
        <f aca="false">TEXT(B303,"yyyy-mm")</f>
        <v>2025-11</v>
      </c>
    </row>
    <row r="304" customFormat="false" ht="15" hidden="false" customHeight="false" outlineLevel="0" collapsed="false">
      <c r="A304" s="0" t="s">
        <v>462</v>
      </c>
      <c r="B304" s="2" t="n">
        <v>45925</v>
      </c>
      <c r="C304" s="3" t="s">
        <v>51</v>
      </c>
      <c r="D304" s="3" t="s">
        <v>28</v>
      </c>
      <c r="E304" s="3" t="s">
        <v>52</v>
      </c>
      <c r="F304" s="0" t="n">
        <v>1</v>
      </c>
      <c r="G304" s="0" t="n">
        <v>450</v>
      </c>
      <c r="H304" s="0" t="n">
        <v>0</v>
      </c>
      <c r="I304" s="3" t="s">
        <v>20</v>
      </c>
      <c r="J304" s="0" t="n">
        <v>3</v>
      </c>
      <c r="K304" s="3" t="s">
        <v>21</v>
      </c>
      <c r="L304" s="0" t="str">
        <f aca="false">VLOOKUP(D304,Products!$A$2:$D$13,2,FALSE())</f>
        <v>Electronics</v>
      </c>
      <c r="M304" s="3" t="n">
        <f aca="false">F304*G304*(1-H304/100)</f>
        <v>450</v>
      </c>
      <c r="N304" s="0" t="str">
        <f aca="false">VLOOKUP(I304,Customers!$A$2:$D$121,3,FALSE())</f>
        <v>Mumbai</v>
      </c>
      <c r="O304" s="0" t="str">
        <f aca="false">VLOOKUP(I304,Customers!$A$2:$D$121,4,FALSE())</f>
        <v>Student</v>
      </c>
      <c r="P304" s="0" t="str">
        <f aca="false">TEXT(B304,"yyyy-mm")</f>
        <v>2025-09</v>
      </c>
    </row>
    <row r="305" customFormat="false" ht="15" hidden="false" customHeight="false" outlineLevel="0" collapsed="false">
      <c r="A305" s="0" t="s">
        <v>463</v>
      </c>
      <c r="B305" s="2" t="n">
        <v>46062</v>
      </c>
      <c r="C305" s="3" t="s">
        <v>51</v>
      </c>
      <c r="D305" s="3" t="s">
        <v>18</v>
      </c>
      <c r="E305" s="3" t="s">
        <v>52</v>
      </c>
      <c r="F305" s="0" t="n">
        <v>3</v>
      </c>
      <c r="G305" s="0" t="n">
        <v>349</v>
      </c>
      <c r="H305" s="0" t="n">
        <v>0</v>
      </c>
      <c r="I305" s="3" t="s">
        <v>81</v>
      </c>
      <c r="J305" s="0" t="n">
        <v>3</v>
      </c>
      <c r="K305" s="3" t="s">
        <v>21</v>
      </c>
      <c r="L305" s="0" t="str">
        <f aca="false">VLOOKUP(D305,Products!$A$2:$D$13,2,FALSE())</f>
        <v>Home</v>
      </c>
      <c r="M305" s="3" t="n">
        <f aca="false">F305*G305*(1-H305/100)</f>
        <v>1047</v>
      </c>
      <c r="N305" s="0" t="str">
        <f aca="false">VLOOKUP(I305,Customers!$A$2:$D$121,3,FALSE())</f>
        <v>Pune</v>
      </c>
      <c r="O305" s="0" t="str">
        <f aca="false">VLOOKUP(I305,Customers!$A$2:$D$121,4,FALSE())</f>
        <v>Corporate</v>
      </c>
      <c r="P305" s="0" t="str">
        <f aca="false">TEXT(B305,"yyyy-mm")</f>
        <v>2026-02</v>
      </c>
    </row>
    <row r="306" customFormat="false" ht="15" hidden="false" customHeight="false" outlineLevel="0" collapsed="false">
      <c r="A306" s="0" t="s">
        <v>464</v>
      </c>
      <c r="B306" s="2" t="n">
        <v>46092</v>
      </c>
      <c r="C306" s="3" t="s">
        <v>23</v>
      </c>
      <c r="D306" s="3" t="s">
        <v>32</v>
      </c>
      <c r="E306" s="3" t="s">
        <v>24</v>
      </c>
      <c r="F306" s="0" t="n">
        <v>1</v>
      </c>
      <c r="G306" s="0" t="n">
        <v>249</v>
      </c>
      <c r="H306" s="0" t="n">
        <v>15</v>
      </c>
      <c r="I306" s="3" t="s">
        <v>264</v>
      </c>
      <c r="J306" s="0" t="n">
        <v>1</v>
      </c>
      <c r="K306" s="3" t="s">
        <v>43</v>
      </c>
      <c r="L306" s="0" t="str">
        <f aca="false">VLOOKUP(D306,Products!$A$2:$D$13,2,FALSE())</f>
        <v>Accessories</v>
      </c>
      <c r="M306" s="3" t="n">
        <f aca="false">F306*G306*(1-H306/100)</f>
        <v>211.65</v>
      </c>
      <c r="N306" s="0" t="str">
        <f aca="false">VLOOKUP(I306,Customers!$A$2:$D$121,3,FALSE())</f>
        <v>Kolkata</v>
      </c>
      <c r="O306" s="0" t="str">
        <f aca="false">VLOOKUP(I306,Customers!$A$2:$D$121,4,FALSE())</f>
        <v>Student</v>
      </c>
      <c r="P306" s="0" t="str">
        <f aca="false">TEXT(B306,"yyyy-mm")</f>
        <v>2026-03</v>
      </c>
    </row>
    <row r="307" customFormat="false" ht="15" hidden="false" customHeight="false" outlineLevel="0" collapsed="false">
      <c r="A307" s="0" t="s">
        <v>465</v>
      </c>
      <c r="B307" s="2" t="n">
        <v>46024</v>
      </c>
      <c r="C307" s="3" t="s">
        <v>36</v>
      </c>
      <c r="D307" s="3" t="s">
        <v>32</v>
      </c>
      <c r="E307" s="3" t="s">
        <v>38</v>
      </c>
      <c r="F307" s="0" t="n">
        <v>1</v>
      </c>
      <c r="G307" s="0" t="n">
        <v>249</v>
      </c>
      <c r="H307" s="0" t="n">
        <v>0</v>
      </c>
      <c r="I307" s="3" t="s">
        <v>182</v>
      </c>
      <c r="J307" s="0" t="n">
        <v>5</v>
      </c>
      <c r="K307" s="3" t="s">
        <v>26</v>
      </c>
      <c r="L307" s="0" t="str">
        <f aca="false">VLOOKUP(D307,Products!$A$2:$D$13,2,FALSE())</f>
        <v>Accessories</v>
      </c>
      <c r="M307" s="3" t="n">
        <f aca="false">F307*G307*(1-H307/100)</f>
        <v>249</v>
      </c>
      <c r="N307" s="0" t="str">
        <f aca="false">VLOOKUP(I307,Customers!$A$2:$D$121,3,FALSE())</f>
        <v>Pune</v>
      </c>
      <c r="O307" s="0" t="str">
        <f aca="false">VLOOKUP(I307,Customers!$A$2:$D$121,4,FALSE())</f>
        <v>Corporate</v>
      </c>
      <c r="P307" s="0" t="str">
        <f aca="false">TEXT(B307,"yyyy-mm")</f>
        <v>2026-01</v>
      </c>
    </row>
    <row r="308" customFormat="false" ht="15" hidden="false" customHeight="false" outlineLevel="0" collapsed="false">
      <c r="A308" s="0" t="s">
        <v>466</v>
      </c>
      <c r="B308" s="2" t="n">
        <v>45867</v>
      </c>
      <c r="C308" s="3" t="s">
        <v>72</v>
      </c>
      <c r="D308" s="3" t="s">
        <v>57</v>
      </c>
      <c r="E308" s="3" t="s">
        <v>73</v>
      </c>
      <c r="F308" s="0" t="n">
        <v>1</v>
      </c>
      <c r="G308" s="0" t="n">
        <v>549</v>
      </c>
      <c r="H308" s="0" t="n">
        <v>15</v>
      </c>
      <c r="I308" s="3" t="s">
        <v>254</v>
      </c>
      <c r="J308" s="0" t="n">
        <v>3</v>
      </c>
      <c r="K308" s="3" t="s">
        <v>26</v>
      </c>
      <c r="L308" s="0" t="str">
        <f aca="false">VLOOKUP(D308,Products!$A$2:$D$13,2,FALSE())</f>
        <v>Accessories</v>
      </c>
      <c r="M308" s="3" t="n">
        <f aca="false">F308*G308*(1-H308/100)</f>
        <v>466.65</v>
      </c>
      <c r="N308" s="0" t="str">
        <f aca="false">VLOOKUP(I308,Customers!$A$2:$D$121,3,FALSE())</f>
        <v>Pune</v>
      </c>
      <c r="O308" s="0" t="str">
        <f aca="false">VLOOKUP(I308,Customers!$A$2:$D$121,4,FALSE())</f>
        <v>Student</v>
      </c>
      <c r="P308" s="0" t="str">
        <f aca="false">TEXT(B308,"yyyy-mm")</f>
        <v>2025-07</v>
      </c>
    </row>
    <row r="309" customFormat="false" ht="15" hidden="false" customHeight="false" outlineLevel="0" collapsed="false">
      <c r="A309" s="0" t="s">
        <v>467</v>
      </c>
      <c r="B309" s="2" t="n">
        <v>46086</v>
      </c>
      <c r="C309" s="3" t="s">
        <v>36</v>
      </c>
      <c r="D309" s="3" t="s">
        <v>37</v>
      </c>
      <c r="E309" s="3" t="s">
        <v>69</v>
      </c>
      <c r="F309" s="0" t="n">
        <v>1</v>
      </c>
      <c r="G309" s="0" t="n">
        <v>500</v>
      </c>
      <c r="H309" s="0" t="n">
        <v>10</v>
      </c>
      <c r="I309" s="3" t="s">
        <v>203</v>
      </c>
      <c r="J309" s="0" t="n">
        <v>4</v>
      </c>
      <c r="K309" s="3" t="s">
        <v>21</v>
      </c>
      <c r="L309" s="0" t="str">
        <f aca="false">VLOOKUP(D309,Products!$A$2:$D$13,2,FALSE())</f>
        <v>Electronics</v>
      </c>
      <c r="M309" s="3" t="n">
        <f aca="false">F309*G309*(1-H309/100)</f>
        <v>450</v>
      </c>
      <c r="N309" s="0" t="str">
        <f aca="false">VLOOKUP(I309,Customers!$A$2:$D$121,3,FALSE())</f>
        <v>Jaipur</v>
      </c>
      <c r="O309" s="0" t="str">
        <f aca="false">VLOOKUP(I309,Customers!$A$2:$D$121,4,FALSE())</f>
        <v>Corporate</v>
      </c>
      <c r="P309" s="0" t="str">
        <f aca="false">TEXT(B309,"yyyy-mm")</f>
        <v>2026-03</v>
      </c>
    </row>
    <row r="310" customFormat="false" ht="15" hidden="false" customHeight="false" outlineLevel="0" collapsed="false">
      <c r="A310" s="0" t="s">
        <v>468</v>
      </c>
      <c r="B310" s="2" t="n">
        <v>45837</v>
      </c>
      <c r="C310" s="3" t="s">
        <v>23</v>
      </c>
      <c r="D310" s="3" t="s">
        <v>57</v>
      </c>
      <c r="E310" s="3" t="s">
        <v>29</v>
      </c>
      <c r="F310" s="0" t="n">
        <v>6</v>
      </c>
      <c r="G310" s="0" t="n">
        <v>549</v>
      </c>
      <c r="H310" s="0" t="n">
        <v>15</v>
      </c>
      <c r="I310" s="3" t="s">
        <v>152</v>
      </c>
      <c r="J310" s="0" t="n">
        <v>4</v>
      </c>
      <c r="K310" s="3" t="s">
        <v>21</v>
      </c>
      <c r="L310" s="0" t="str">
        <f aca="false">VLOOKUP(D310,Products!$A$2:$D$13,2,FALSE())</f>
        <v>Accessories</v>
      </c>
      <c r="M310" s="3" t="n">
        <f aca="false">F310*G310*(1-H310/100)</f>
        <v>2799.9</v>
      </c>
      <c r="N310" s="0" t="str">
        <f aca="false">VLOOKUP(I310,Customers!$A$2:$D$121,3,FALSE())</f>
        <v>Bhopal</v>
      </c>
      <c r="O310" s="0" t="str">
        <f aca="false">VLOOKUP(I310,Customers!$A$2:$D$121,4,FALSE())</f>
        <v>Corporate</v>
      </c>
      <c r="P310" s="0" t="str">
        <f aca="false">TEXT(B310,"yyyy-mm")</f>
        <v>2025-06</v>
      </c>
    </row>
    <row r="311" customFormat="false" ht="15" hidden="false" customHeight="false" outlineLevel="0" collapsed="false">
      <c r="A311" s="0" t="s">
        <v>469</v>
      </c>
      <c r="B311" s="2" t="n">
        <v>46016</v>
      </c>
      <c r="C311" s="3" t="s">
        <v>51</v>
      </c>
      <c r="D311" s="3" t="s">
        <v>41</v>
      </c>
      <c r="E311" s="3" t="s">
        <v>52</v>
      </c>
      <c r="F311" s="0" t="n">
        <v>4</v>
      </c>
      <c r="G311" s="0" t="n">
        <v>399</v>
      </c>
      <c r="H311" s="0" t="n">
        <v>0</v>
      </c>
      <c r="I311" s="3" t="s">
        <v>55</v>
      </c>
      <c r="J311" s="0" t="n">
        <v>4</v>
      </c>
      <c r="K311" s="3" t="s">
        <v>34</v>
      </c>
      <c r="L311" s="0" t="str">
        <f aca="false">VLOOKUP(D311,Products!$A$2:$D$13,2,FALSE())</f>
        <v>Electronics</v>
      </c>
      <c r="M311" s="3" t="n">
        <f aca="false">F311*G311*(1-H311/100)</f>
        <v>1596</v>
      </c>
      <c r="N311" s="0" t="str">
        <f aca="false">VLOOKUP(I311,Customers!$A$2:$D$121,3,FALSE())</f>
        <v>Jaipur</v>
      </c>
      <c r="O311" s="0" t="str">
        <f aca="false">VLOOKUP(I311,Customers!$A$2:$D$121,4,FALSE())</f>
        <v>Corporate</v>
      </c>
      <c r="P311" s="0" t="str">
        <f aca="false">TEXT(B311,"yyyy-mm")</f>
        <v>2025-12</v>
      </c>
    </row>
    <row r="312" customFormat="false" ht="15" hidden="false" customHeight="false" outlineLevel="0" collapsed="false">
      <c r="A312" s="0" t="s">
        <v>470</v>
      </c>
      <c r="B312" s="2" t="n">
        <v>46023</v>
      </c>
      <c r="C312" s="3" t="s">
        <v>36</v>
      </c>
      <c r="D312" s="3" t="s">
        <v>88</v>
      </c>
      <c r="E312" s="3" t="s">
        <v>69</v>
      </c>
      <c r="F312" s="0" t="n">
        <v>2</v>
      </c>
      <c r="G312" s="0" t="n">
        <v>799</v>
      </c>
      <c r="H312" s="0" t="n">
        <v>5</v>
      </c>
      <c r="I312" s="3" t="s">
        <v>81</v>
      </c>
      <c r="J312" s="0" t="n">
        <v>5</v>
      </c>
      <c r="K312" s="3" t="s">
        <v>26</v>
      </c>
      <c r="L312" s="0" t="str">
        <f aca="false">VLOOKUP(D312,Products!$A$2:$D$13,2,FALSE())</f>
        <v>Accessories</v>
      </c>
      <c r="M312" s="3" t="n">
        <f aca="false">F312*G312*(1-H312/100)</f>
        <v>1518.1</v>
      </c>
      <c r="N312" s="0" t="str">
        <f aca="false">VLOOKUP(I312,Customers!$A$2:$D$121,3,FALSE())</f>
        <v>Pune</v>
      </c>
      <c r="O312" s="0" t="str">
        <f aca="false">VLOOKUP(I312,Customers!$A$2:$D$121,4,FALSE())</f>
        <v>Corporate</v>
      </c>
      <c r="P312" s="0" t="str">
        <f aca="false">TEXT(B312,"yyyy-mm")</f>
        <v>2026-01</v>
      </c>
    </row>
    <row r="313" customFormat="false" ht="15" hidden="false" customHeight="false" outlineLevel="0" collapsed="false">
      <c r="A313" s="0" t="s">
        <v>471</v>
      </c>
      <c r="B313" s="2" t="n">
        <v>46035</v>
      </c>
      <c r="C313" s="3" t="s">
        <v>17</v>
      </c>
      <c r="D313" s="3" t="s">
        <v>32</v>
      </c>
      <c r="E313" s="3" t="s">
        <v>19</v>
      </c>
      <c r="F313" s="0" t="n">
        <v>1</v>
      </c>
      <c r="G313" s="0" t="n">
        <v>249</v>
      </c>
      <c r="H313" s="0" t="n">
        <v>5</v>
      </c>
      <c r="I313" s="3" t="s">
        <v>322</v>
      </c>
      <c r="J313" s="0" t="n">
        <v>4</v>
      </c>
      <c r="K313" s="3" t="s">
        <v>43</v>
      </c>
      <c r="L313" s="0" t="str">
        <f aca="false">VLOOKUP(D313,Products!$A$2:$D$13,2,FALSE())</f>
        <v>Accessories</v>
      </c>
      <c r="M313" s="3" t="n">
        <f aca="false">F313*G313*(1-H313/100)</f>
        <v>236.55</v>
      </c>
      <c r="N313" s="0" t="str">
        <f aca="false">VLOOKUP(I313,Customers!$A$2:$D$121,3,FALSE())</f>
        <v>Kolkata</v>
      </c>
      <c r="O313" s="0" t="str">
        <f aca="false">VLOOKUP(I313,Customers!$A$2:$D$121,4,FALSE())</f>
        <v>Retail</v>
      </c>
      <c r="P313" s="0" t="str">
        <f aca="false">TEXT(B313,"yyyy-mm")</f>
        <v>2026-01</v>
      </c>
    </row>
    <row r="314" customFormat="false" ht="15" hidden="false" customHeight="false" outlineLevel="0" collapsed="false">
      <c r="A314" s="0" t="s">
        <v>472</v>
      </c>
      <c r="B314" s="2" t="n">
        <v>45852</v>
      </c>
      <c r="C314" s="3" t="s">
        <v>72</v>
      </c>
      <c r="D314" s="3" t="s">
        <v>28</v>
      </c>
      <c r="E314" s="3" t="s">
        <v>73</v>
      </c>
      <c r="F314" s="0" t="n">
        <v>1</v>
      </c>
      <c r="G314" s="0" t="n">
        <v>450</v>
      </c>
      <c r="H314" s="0" t="n">
        <v>0</v>
      </c>
      <c r="I314" s="3" t="s">
        <v>227</v>
      </c>
      <c r="J314" s="0" t="n">
        <v>2</v>
      </c>
      <c r="K314" s="3" t="s">
        <v>34</v>
      </c>
      <c r="L314" s="0" t="str">
        <f aca="false">VLOOKUP(D314,Products!$A$2:$D$13,2,FALSE())</f>
        <v>Electronics</v>
      </c>
      <c r="M314" s="3" t="n">
        <f aca="false">F314*G314*(1-H314/100)</f>
        <v>450</v>
      </c>
      <c r="N314" s="0" t="str">
        <f aca="false">VLOOKUP(I314,Customers!$A$2:$D$121,3,FALSE())</f>
        <v>Kolkata</v>
      </c>
      <c r="O314" s="0" t="str">
        <f aca="false">VLOOKUP(I314,Customers!$A$2:$D$121,4,FALSE())</f>
        <v>Corporate</v>
      </c>
      <c r="P314" s="0" t="str">
        <f aca="false">TEXT(B314,"yyyy-mm")</f>
        <v>2025-07</v>
      </c>
    </row>
    <row r="315" customFormat="false" ht="15" hidden="false" customHeight="false" outlineLevel="0" collapsed="false">
      <c r="A315" s="0" t="s">
        <v>473</v>
      </c>
      <c r="B315" s="2" t="n">
        <v>45845</v>
      </c>
      <c r="C315" s="3" t="s">
        <v>23</v>
      </c>
      <c r="D315" s="3" t="s">
        <v>45</v>
      </c>
      <c r="E315" s="3" t="s">
        <v>24</v>
      </c>
      <c r="F315" s="0" t="n">
        <v>1</v>
      </c>
      <c r="G315" s="0" t="n">
        <v>30</v>
      </c>
      <c r="H315" s="0" t="n">
        <v>0</v>
      </c>
      <c r="I315" s="3" t="s">
        <v>195</v>
      </c>
      <c r="J315" s="0" t="n">
        <v>4</v>
      </c>
      <c r="K315" s="3" t="s">
        <v>21</v>
      </c>
      <c r="L315" s="0" t="str">
        <f aca="false">VLOOKUP(D315,Products!$A$2:$D$13,2,FALSE())</f>
        <v>Stationery</v>
      </c>
      <c r="M315" s="3" t="n">
        <f aca="false">F315*G315*(1-H315/100)</f>
        <v>30</v>
      </c>
      <c r="N315" s="0" t="str">
        <f aca="false">VLOOKUP(I315,Customers!$A$2:$D$121,3,FALSE())</f>
        <v>Pune</v>
      </c>
      <c r="O315" s="0" t="str">
        <f aca="false">VLOOKUP(I315,Customers!$A$2:$D$121,4,FALSE())</f>
        <v>Student</v>
      </c>
      <c r="P315" s="0" t="str">
        <f aca="false">TEXT(B315,"yyyy-mm")</f>
        <v>2025-07</v>
      </c>
    </row>
    <row r="316" customFormat="false" ht="15" hidden="false" customHeight="false" outlineLevel="0" collapsed="false">
      <c r="A316" s="0" t="s">
        <v>474</v>
      </c>
      <c r="B316" s="2" t="n">
        <v>46091</v>
      </c>
      <c r="C316" s="3" t="s">
        <v>23</v>
      </c>
      <c r="D316" s="3" t="s">
        <v>28</v>
      </c>
      <c r="E316" s="3" t="s">
        <v>29</v>
      </c>
      <c r="F316" s="0" t="n">
        <v>1</v>
      </c>
      <c r="G316" s="0" t="n">
        <v>450</v>
      </c>
      <c r="H316" s="0" t="n">
        <v>10</v>
      </c>
      <c r="I316" s="3" t="s">
        <v>86</v>
      </c>
      <c r="J316" s="0" t="n">
        <v>4</v>
      </c>
      <c r="K316" s="3" t="s">
        <v>34</v>
      </c>
      <c r="L316" s="0" t="str">
        <f aca="false">VLOOKUP(D316,Products!$A$2:$D$13,2,FALSE())</f>
        <v>Electronics</v>
      </c>
      <c r="M316" s="3" t="n">
        <f aca="false">F316*G316*(1-H316/100)</f>
        <v>405</v>
      </c>
      <c r="N316" s="0" t="str">
        <f aca="false">VLOOKUP(I316,Customers!$A$2:$D$121,3,FALSE())</f>
        <v>Kolkata</v>
      </c>
      <c r="O316" s="0" t="str">
        <f aca="false">VLOOKUP(I316,Customers!$A$2:$D$121,4,FALSE())</f>
        <v>Student</v>
      </c>
      <c r="P316" s="0" t="str">
        <f aca="false">TEXT(B316,"yyyy-mm")</f>
        <v>2026-03</v>
      </c>
    </row>
    <row r="317" customFormat="false" ht="15" hidden="false" customHeight="false" outlineLevel="0" collapsed="false">
      <c r="A317" s="0" t="s">
        <v>475</v>
      </c>
      <c r="B317" s="2" t="n">
        <v>45845</v>
      </c>
      <c r="C317" s="3" t="s">
        <v>36</v>
      </c>
      <c r="D317" s="3" t="s">
        <v>60</v>
      </c>
      <c r="E317" s="3" t="s">
        <v>69</v>
      </c>
      <c r="F317" s="0" t="n">
        <v>2</v>
      </c>
      <c r="G317" s="0" t="n">
        <v>40</v>
      </c>
      <c r="H317" s="0" t="n">
        <v>15</v>
      </c>
      <c r="I317" s="3" t="s">
        <v>243</v>
      </c>
      <c r="J317" s="0" t="n">
        <v>5</v>
      </c>
      <c r="K317" s="3" t="s">
        <v>26</v>
      </c>
      <c r="L317" s="0" t="str">
        <f aca="false">VLOOKUP(D317,Products!$A$2:$D$13,2,FALSE())</f>
        <v>Stationery</v>
      </c>
      <c r="M317" s="3" t="n">
        <f aca="false">F317*G317*(1-H317/100)</f>
        <v>68</v>
      </c>
      <c r="N317" s="0" t="str">
        <f aca="false">VLOOKUP(I317,Customers!$A$2:$D$121,3,FALSE())</f>
        <v>Jaipur</v>
      </c>
      <c r="O317" s="0" t="str">
        <f aca="false">VLOOKUP(I317,Customers!$A$2:$D$121,4,FALSE())</f>
        <v>Corporate</v>
      </c>
      <c r="P317" s="0" t="str">
        <f aca="false">TEXT(B317,"yyyy-mm")</f>
        <v>2025-07</v>
      </c>
    </row>
    <row r="318" customFormat="false" ht="15" hidden="false" customHeight="false" outlineLevel="0" collapsed="false">
      <c r="A318" s="0" t="s">
        <v>476</v>
      </c>
      <c r="B318" s="2" t="n">
        <v>46108</v>
      </c>
      <c r="C318" s="3" t="s">
        <v>23</v>
      </c>
      <c r="D318" s="3" t="s">
        <v>48</v>
      </c>
      <c r="E318" s="3" t="s">
        <v>29</v>
      </c>
      <c r="F318" s="0" t="n">
        <v>3</v>
      </c>
      <c r="G318" s="0" t="n">
        <v>199</v>
      </c>
      <c r="H318" s="0" t="n">
        <v>0</v>
      </c>
      <c r="I318" s="3" t="s">
        <v>120</v>
      </c>
      <c r="J318" s="0" t="n">
        <v>5</v>
      </c>
      <c r="K318" s="3" t="s">
        <v>34</v>
      </c>
      <c r="L318" s="0" t="str">
        <f aca="false">VLOOKUP(D318,Products!$A$2:$D$13,2,FALSE())</f>
        <v>Home</v>
      </c>
      <c r="M318" s="3" t="n">
        <f aca="false">F318*G318*(1-H318/100)</f>
        <v>597</v>
      </c>
      <c r="N318" s="0" t="str">
        <f aca="false">VLOOKUP(I318,Customers!$A$2:$D$121,3,FALSE())</f>
        <v>Bhopal</v>
      </c>
      <c r="O318" s="0" t="str">
        <f aca="false">VLOOKUP(I318,Customers!$A$2:$D$121,4,FALSE())</f>
        <v>Retail</v>
      </c>
      <c r="P318" s="0" t="str">
        <f aca="false">TEXT(B318,"yyyy-mm")</f>
        <v>2026-03</v>
      </c>
    </row>
    <row r="319" customFormat="false" ht="15" hidden="false" customHeight="false" outlineLevel="0" collapsed="false">
      <c r="A319" s="0" t="s">
        <v>477</v>
      </c>
      <c r="B319" s="2" t="n">
        <v>46021</v>
      </c>
      <c r="C319" s="3" t="s">
        <v>51</v>
      </c>
      <c r="D319" s="3" t="s">
        <v>88</v>
      </c>
      <c r="E319" s="3" t="s">
        <v>83</v>
      </c>
      <c r="F319" s="0" t="n">
        <v>2</v>
      </c>
      <c r="G319" s="0" t="n">
        <v>799</v>
      </c>
      <c r="H319" s="0" t="n">
        <v>15</v>
      </c>
      <c r="I319" s="3" t="s">
        <v>135</v>
      </c>
      <c r="J319" s="0" t="n">
        <v>3</v>
      </c>
      <c r="K319" s="3" t="s">
        <v>43</v>
      </c>
      <c r="L319" s="0" t="str">
        <f aca="false">VLOOKUP(D319,Products!$A$2:$D$13,2,FALSE())</f>
        <v>Accessories</v>
      </c>
      <c r="M319" s="3" t="n">
        <f aca="false">F319*G319*(1-H319/100)</f>
        <v>1358.3</v>
      </c>
      <c r="N319" s="0" t="str">
        <f aca="false">VLOOKUP(I319,Customers!$A$2:$D$121,3,FALSE())</f>
        <v>Jaipur</v>
      </c>
      <c r="O319" s="0" t="str">
        <f aca="false">VLOOKUP(I319,Customers!$A$2:$D$121,4,FALSE())</f>
        <v>Corporate</v>
      </c>
      <c r="P319" s="0" t="str">
        <f aca="false">TEXT(B319,"yyyy-mm")</f>
        <v>2025-12</v>
      </c>
    </row>
    <row r="320" customFormat="false" ht="15" hidden="false" customHeight="false" outlineLevel="0" collapsed="false">
      <c r="A320" s="0" t="s">
        <v>478</v>
      </c>
      <c r="B320" s="2" t="n">
        <v>45988</v>
      </c>
      <c r="C320" s="3" t="s">
        <v>17</v>
      </c>
      <c r="D320" s="3" t="s">
        <v>32</v>
      </c>
      <c r="E320" s="3" t="s">
        <v>93</v>
      </c>
      <c r="F320" s="0" t="n">
        <v>1</v>
      </c>
      <c r="G320" s="0" t="n">
        <v>249</v>
      </c>
      <c r="H320" s="0" t="n">
        <v>0</v>
      </c>
      <c r="I320" s="3" t="s">
        <v>79</v>
      </c>
      <c r="J320" s="0" t="n">
        <v>3</v>
      </c>
      <c r="K320" s="3" t="s">
        <v>43</v>
      </c>
      <c r="L320" s="0" t="str">
        <f aca="false">VLOOKUP(D320,Products!$A$2:$D$13,2,FALSE())</f>
        <v>Accessories</v>
      </c>
      <c r="M320" s="3" t="n">
        <f aca="false">F320*G320*(1-H320/100)</f>
        <v>249</v>
      </c>
      <c r="N320" s="0" t="str">
        <f aca="false">VLOOKUP(I320,Customers!$A$2:$D$121,3,FALSE())</f>
        <v>Bhopal</v>
      </c>
      <c r="O320" s="0" t="str">
        <f aca="false">VLOOKUP(I320,Customers!$A$2:$D$121,4,FALSE())</f>
        <v>Retail</v>
      </c>
      <c r="P320" s="0" t="str">
        <f aca="false">TEXT(B320,"yyyy-mm")</f>
        <v>2025-11</v>
      </c>
    </row>
    <row r="321" customFormat="false" ht="15" hidden="false" customHeight="false" outlineLevel="0" collapsed="false">
      <c r="A321" s="0" t="s">
        <v>479</v>
      </c>
      <c r="B321" s="2" t="n">
        <v>45861</v>
      </c>
      <c r="C321" s="3" t="s">
        <v>23</v>
      </c>
      <c r="D321" s="3" t="s">
        <v>60</v>
      </c>
      <c r="E321" s="3" t="s">
        <v>29</v>
      </c>
      <c r="F321" s="0" t="n">
        <v>6</v>
      </c>
      <c r="G321" s="0" t="n">
        <v>40</v>
      </c>
      <c r="H321" s="0" t="n">
        <v>15</v>
      </c>
      <c r="I321" s="3" t="s">
        <v>258</v>
      </c>
      <c r="J321" s="0" t="n">
        <v>1</v>
      </c>
      <c r="K321" s="3" t="s">
        <v>34</v>
      </c>
      <c r="L321" s="0" t="str">
        <f aca="false">VLOOKUP(D321,Products!$A$2:$D$13,2,FALSE())</f>
        <v>Stationery</v>
      </c>
      <c r="M321" s="3" t="n">
        <f aca="false">F321*G321*(1-H321/100)</f>
        <v>204</v>
      </c>
      <c r="N321" s="0" t="str">
        <f aca="false">VLOOKUP(I321,Customers!$A$2:$D$121,3,FALSE())</f>
        <v>Kolkata</v>
      </c>
      <c r="O321" s="0" t="str">
        <f aca="false">VLOOKUP(I321,Customers!$A$2:$D$121,4,FALSE())</f>
        <v>Student</v>
      </c>
      <c r="P321" s="0" t="str">
        <f aca="false">TEXT(B321,"yyyy-mm")</f>
        <v>2025-07</v>
      </c>
    </row>
    <row r="322" customFormat="false" ht="15" hidden="false" customHeight="false" outlineLevel="0" collapsed="false">
      <c r="A322" s="0" t="s">
        <v>480</v>
      </c>
      <c r="B322" s="2" t="n">
        <v>45916</v>
      </c>
      <c r="C322" s="3" t="s">
        <v>36</v>
      </c>
      <c r="D322" s="3" t="s">
        <v>108</v>
      </c>
      <c r="E322" s="3" t="s">
        <v>38</v>
      </c>
      <c r="F322" s="0" t="n">
        <v>3</v>
      </c>
      <c r="G322" s="0" t="n">
        <v>180</v>
      </c>
      <c r="H322" s="0" t="n">
        <v>0</v>
      </c>
      <c r="I322" s="3" t="s">
        <v>58</v>
      </c>
      <c r="J322" s="0" t="n">
        <v>4</v>
      </c>
      <c r="K322" s="3" t="s">
        <v>43</v>
      </c>
      <c r="L322" s="0" t="str">
        <f aca="false">VLOOKUP(D322,Products!$A$2:$D$13,2,FALSE())</f>
        <v>Stationery</v>
      </c>
      <c r="M322" s="3" t="n">
        <f aca="false">F322*G322*(1-H322/100)</f>
        <v>540</v>
      </c>
      <c r="N322" s="0" t="str">
        <f aca="false">VLOOKUP(I322,Customers!$A$2:$D$121,3,FALSE())</f>
        <v>Kolkata</v>
      </c>
      <c r="O322" s="0" t="str">
        <f aca="false">VLOOKUP(I322,Customers!$A$2:$D$121,4,FALSE())</f>
        <v>Corporate</v>
      </c>
      <c r="P322" s="0" t="str">
        <f aca="false">TEXT(B322,"yyyy-mm")</f>
        <v>2025-09</v>
      </c>
    </row>
    <row r="323" customFormat="false" ht="15" hidden="false" customHeight="false" outlineLevel="0" collapsed="false">
      <c r="A323" s="0" t="s">
        <v>481</v>
      </c>
      <c r="B323" s="2" t="n">
        <v>45879</v>
      </c>
      <c r="C323" s="3" t="s">
        <v>72</v>
      </c>
      <c r="D323" s="3" t="s">
        <v>57</v>
      </c>
      <c r="E323" s="3" t="s">
        <v>73</v>
      </c>
      <c r="F323" s="0" t="n">
        <v>2</v>
      </c>
      <c r="G323" s="0" t="n">
        <v>549</v>
      </c>
      <c r="H323" s="0" t="n">
        <v>5</v>
      </c>
      <c r="I323" s="3" t="s">
        <v>284</v>
      </c>
      <c r="J323" s="0" t="n">
        <v>4</v>
      </c>
      <c r="K323" s="3" t="s">
        <v>43</v>
      </c>
      <c r="L323" s="0" t="str">
        <f aca="false">VLOOKUP(D323,Products!$A$2:$D$13,2,FALSE())</f>
        <v>Accessories</v>
      </c>
      <c r="M323" s="3" t="n">
        <f aca="false">F323*G323*(1-H323/100)</f>
        <v>1043.1</v>
      </c>
      <c r="N323" s="0" t="str">
        <f aca="false">VLOOKUP(I323,Customers!$A$2:$D$121,3,FALSE())</f>
        <v>Jaipur</v>
      </c>
      <c r="O323" s="0" t="str">
        <f aca="false">VLOOKUP(I323,Customers!$A$2:$D$121,4,FALSE())</f>
        <v>Retail</v>
      </c>
      <c r="P323" s="0" t="str">
        <f aca="false">TEXT(B323,"yyyy-mm")</f>
        <v>2025-08</v>
      </c>
    </row>
    <row r="324" customFormat="false" ht="15" hidden="false" customHeight="false" outlineLevel="0" collapsed="false">
      <c r="A324" s="0" t="s">
        <v>482</v>
      </c>
      <c r="B324" s="2" t="n">
        <v>45834</v>
      </c>
      <c r="C324" s="3" t="s">
        <v>72</v>
      </c>
      <c r="D324" s="3" t="s">
        <v>108</v>
      </c>
      <c r="E324" s="3" t="s">
        <v>89</v>
      </c>
      <c r="F324" s="0" t="n">
        <v>2</v>
      </c>
      <c r="G324" s="0" t="n">
        <v>180</v>
      </c>
      <c r="H324" s="0" t="n">
        <v>0</v>
      </c>
      <c r="I324" s="3" t="s">
        <v>284</v>
      </c>
      <c r="J324" s="0" t="n">
        <v>4</v>
      </c>
      <c r="K324" s="3" t="s">
        <v>21</v>
      </c>
      <c r="L324" s="0" t="str">
        <f aca="false">VLOOKUP(D324,Products!$A$2:$D$13,2,FALSE())</f>
        <v>Stationery</v>
      </c>
      <c r="M324" s="3" t="n">
        <f aca="false">F324*G324*(1-H324/100)</f>
        <v>360</v>
      </c>
      <c r="N324" s="0" t="str">
        <f aca="false">VLOOKUP(I324,Customers!$A$2:$D$121,3,FALSE())</f>
        <v>Jaipur</v>
      </c>
      <c r="O324" s="0" t="str">
        <f aca="false">VLOOKUP(I324,Customers!$A$2:$D$121,4,FALSE())</f>
        <v>Retail</v>
      </c>
      <c r="P324" s="0" t="str">
        <f aca="false">TEXT(B324,"yyyy-mm")</f>
        <v>2025-06</v>
      </c>
    </row>
    <row r="325" customFormat="false" ht="15" hidden="false" customHeight="false" outlineLevel="0" collapsed="false">
      <c r="A325" s="0" t="s">
        <v>483</v>
      </c>
      <c r="B325" s="2" t="n">
        <v>45786</v>
      </c>
      <c r="C325" s="3" t="s">
        <v>17</v>
      </c>
      <c r="D325" s="3" t="s">
        <v>57</v>
      </c>
      <c r="E325" s="3" t="s">
        <v>93</v>
      </c>
      <c r="F325" s="0" t="n">
        <v>1</v>
      </c>
      <c r="G325" s="0" t="n">
        <v>549</v>
      </c>
      <c r="H325" s="0" t="n">
        <v>15</v>
      </c>
      <c r="I325" s="3" t="s">
        <v>100</v>
      </c>
      <c r="J325" s="0" t="n">
        <v>5</v>
      </c>
      <c r="K325" s="3" t="s">
        <v>26</v>
      </c>
      <c r="L325" s="0" t="str">
        <f aca="false">VLOOKUP(D325,Products!$A$2:$D$13,2,FALSE())</f>
        <v>Accessories</v>
      </c>
      <c r="M325" s="3" t="n">
        <f aca="false">F325*G325*(1-H325/100)</f>
        <v>466.65</v>
      </c>
      <c r="N325" s="0" t="str">
        <f aca="false">VLOOKUP(I325,Customers!$A$2:$D$121,3,FALSE())</f>
        <v>Nagpur</v>
      </c>
      <c r="O325" s="0" t="str">
        <f aca="false">VLOOKUP(I325,Customers!$A$2:$D$121,4,FALSE())</f>
        <v>Retail</v>
      </c>
      <c r="P325" s="0" t="str">
        <f aca="false">TEXT(B325,"yyyy-mm")</f>
        <v>2025-05</v>
      </c>
    </row>
    <row r="326" customFormat="false" ht="15" hidden="false" customHeight="false" outlineLevel="0" collapsed="false">
      <c r="A326" s="0" t="s">
        <v>484</v>
      </c>
      <c r="B326" s="2" t="n">
        <v>45782</v>
      </c>
      <c r="C326" s="3" t="s">
        <v>36</v>
      </c>
      <c r="D326" s="3" t="s">
        <v>18</v>
      </c>
      <c r="E326" s="3" t="s">
        <v>69</v>
      </c>
      <c r="F326" s="0" t="n">
        <v>1</v>
      </c>
      <c r="G326" s="0" t="n">
        <v>349</v>
      </c>
      <c r="H326" s="0" t="n">
        <v>15</v>
      </c>
      <c r="I326" s="3" t="s">
        <v>485</v>
      </c>
      <c r="J326" s="0" t="n">
        <v>1</v>
      </c>
      <c r="K326" s="3" t="s">
        <v>34</v>
      </c>
      <c r="L326" s="0" t="str">
        <f aca="false">VLOOKUP(D326,Products!$A$2:$D$13,2,FALSE())</f>
        <v>Home</v>
      </c>
      <c r="M326" s="3" t="n">
        <f aca="false">F326*G326*(1-H326/100)</f>
        <v>296.65</v>
      </c>
      <c r="N326" s="0" t="str">
        <f aca="false">VLOOKUP(I326,Customers!$A$2:$D$121,3,FALSE())</f>
        <v>Indore</v>
      </c>
      <c r="O326" s="0" t="str">
        <f aca="false">VLOOKUP(I326,Customers!$A$2:$D$121,4,FALSE())</f>
        <v>Retail</v>
      </c>
      <c r="P326" s="0" t="str">
        <f aca="false">TEXT(B326,"yyyy-mm")</f>
        <v>2025-05</v>
      </c>
    </row>
    <row r="327" customFormat="false" ht="15" hidden="false" customHeight="false" outlineLevel="0" collapsed="false">
      <c r="A327" s="0" t="s">
        <v>486</v>
      </c>
      <c r="B327" s="2" t="n">
        <v>46074</v>
      </c>
      <c r="C327" s="3" t="s">
        <v>23</v>
      </c>
      <c r="D327" s="3" t="s">
        <v>60</v>
      </c>
      <c r="E327" s="3" t="s">
        <v>29</v>
      </c>
      <c r="F327" s="0" t="n">
        <v>1</v>
      </c>
      <c r="G327" s="0" t="n">
        <v>40</v>
      </c>
      <c r="H327" s="0" t="n">
        <v>15</v>
      </c>
      <c r="I327" s="3" t="s">
        <v>249</v>
      </c>
      <c r="J327" s="0" t="n">
        <v>4</v>
      </c>
      <c r="K327" s="3" t="s">
        <v>43</v>
      </c>
      <c r="L327" s="0" t="str">
        <f aca="false">VLOOKUP(D327,Products!$A$2:$D$13,2,FALSE())</f>
        <v>Stationery</v>
      </c>
      <c r="M327" s="3" t="n">
        <f aca="false">F327*G327*(1-H327/100)</f>
        <v>34</v>
      </c>
      <c r="N327" s="0" t="str">
        <f aca="false">VLOOKUP(I327,Customers!$A$2:$D$121,3,FALSE())</f>
        <v>Jaipur</v>
      </c>
      <c r="O327" s="0" t="str">
        <f aca="false">VLOOKUP(I327,Customers!$A$2:$D$121,4,FALSE())</f>
        <v>Retail</v>
      </c>
      <c r="P327" s="0" t="str">
        <f aca="false">TEXT(B327,"yyyy-mm")</f>
        <v>2026-02</v>
      </c>
    </row>
    <row r="328" customFormat="false" ht="15" hidden="false" customHeight="false" outlineLevel="0" collapsed="false">
      <c r="A328" s="0" t="s">
        <v>487</v>
      </c>
      <c r="B328" s="2" t="n">
        <v>46020</v>
      </c>
      <c r="C328" s="3" t="s">
        <v>17</v>
      </c>
      <c r="D328" s="3" t="s">
        <v>60</v>
      </c>
      <c r="E328" s="3" t="s">
        <v>93</v>
      </c>
      <c r="F328" s="0" t="n">
        <v>3</v>
      </c>
      <c r="G328" s="0" t="n">
        <v>40</v>
      </c>
      <c r="H328" s="0" t="n">
        <v>10</v>
      </c>
      <c r="I328" s="3" t="s">
        <v>237</v>
      </c>
      <c r="J328" s="0" t="n">
        <v>1</v>
      </c>
      <c r="K328" s="3" t="s">
        <v>34</v>
      </c>
      <c r="L328" s="0" t="str">
        <f aca="false">VLOOKUP(D328,Products!$A$2:$D$13,2,FALSE())</f>
        <v>Stationery</v>
      </c>
      <c r="M328" s="3" t="n">
        <f aca="false">F328*G328*(1-H328/100)</f>
        <v>108</v>
      </c>
      <c r="N328" s="0" t="str">
        <f aca="false">VLOOKUP(I328,Customers!$A$2:$D$121,3,FALSE())</f>
        <v>Jaipur</v>
      </c>
      <c r="O328" s="0" t="str">
        <f aca="false">VLOOKUP(I328,Customers!$A$2:$D$121,4,FALSE())</f>
        <v>Retail</v>
      </c>
      <c r="P328" s="0" t="str">
        <f aca="false">TEXT(B328,"yyyy-mm")</f>
        <v>2025-12</v>
      </c>
    </row>
    <row r="329" customFormat="false" ht="15" hidden="false" customHeight="false" outlineLevel="0" collapsed="false">
      <c r="A329" s="0" t="s">
        <v>488</v>
      </c>
      <c r="B329" s="2" t="n">
        <v>46105</v>
      </c>
      <c r="C329" s="3" t="s">
        <v>23</v>
      </c>
      <c r="D329" s="3" t="s">
        <v>60</v>
      </c>
      <c r="E329" s="3" t="s">
        <v>24</v>
      </c>
      <c r="F329" s="0" t="n">
        <v>1</v>
      </c>
      <c r="G329" s="0" t="n">
        <v>40</v>
      </c>
      <c r="H329" s="0" t="n">
        <v>15</v>
      </c>
      <c r="I329" s="3" t="s">
        <v>489</v>
      </c>
      <c r="J329" s="0" t="n">
        <v>5</v>
      </c>
      <c r="K329" s="3" t="s">
        <v>21</v>
      </c>
      <c r="L329" s="0" t="str">
        <f aca="false">VLOOKUP(D329,Products!$A$2:$D$13,2,FALSE())</f>
        <v>Stationery</v>
      </c>
      <c r="M329" s="3" t="n">
        <f aca="false">F329*G329*(1-H329/100)</f>
        <v>34</v>
      </c>
      <c r="N329" s="0" t="str">
        <f aca="false">VLOOKUP(I329,Customers!$A$2:$D$121,3,FALSE())</f>
        <v>Kolkata</v>
      </c>
      <c r="O329" s="0" t="str">
        <f aca="false">VLOOKUP(I329,Customers!$A$2:$D$121,4,FALSE())</f>
        <v>Retail</v>
      </c>
      <c r="P329" s="0" t="str">
        <f aca="false">TEXT(B329,"yyyy-mm")</f>
        <v>2026-03</v>
      </c>
    </row>
    <row r="330" customFormat="false" ht="15" hidden="false" customHeight="false" outlineLevel="0" collapsed="false">
      <c r="A330" s="0" t="s">
        <v>490</v>
      </c>
      <c r="B330" s="2" t="n">
        <v>45824</v>
      </c>
      <c r="C330" s="3" t="s">
        <v>23</v>
      </c>
      <c r="D330" s="3" t="s">
        <v>45</v>
      </c>
      <c r="E330" s="3" t="s">
        <v>29</v>
      </c>
      <c r="F330" s="0" t="n">
        <v>1</v>
      </c>
      <c r="G330" s="0" t="n">
        <v>30</v>
      </c>
      <c r="H330" s="0" t="n">
        <v>0</v>
      </c>
      <c r="I330" s="3" t="s">
        <v>102</v>
      </c>
      <c r="J330" s="0" t="n">
        <v>4</v>
      </c>
      <c r="K330" s="3" t="s">
        <v>34</v>
      </c>
      <c r="L330" s="0" t="str">
        <f aca="false">VLOOKUP(D330,Products!$A$2:$D$13,2,FALSE())</f>
        <v>Stationery</v>
      </c>
      <c r="M330" s="3" t="n">
        <f aca="false">F330*G330*(1-H330/100)</f>
        <v>30</v>
      </c>
      <c r="N330" s="0" t="str">
        <f aca="false">VLOOKUP(I330,Customers!$A$2:$D$121,3,FALSE())</f>
        <v>Jaipur</v>
      </c>
      <c r="O330" s="0" t="str">
        <f aca="false">VLOOKUP(I330,Customers!$A$2:$D$121,4,FALSE())</f>
        <v>Corporate</v>
      </c>
      <c r="P330" s="0" t="str">
        <f aca="false">TEXT(B330,"yyyy-mm")</f>
        <v>2025-06</v>
      </c>
    </row>
    <row r="331" customFormat="false" ht="15" hidden="false" customHeight="false" outlineLevel="0" collapsed="false">
      <c r="A331" s="0" t="s">
        <v>491</v>
      </c>
      <c r="B331" s="2" t="n">
        <v>45788</v>
      </c>
      <c r="C331" s="3" t="s">
        <v>51</v>
      </c>
      <c r="D331" s="3" t="s">
        <v>37</v>
      </c>
      <c r="E331" s="3" t="s">
        <v>52</v>
      </c>
      <c r="F331" s="0" t="n">
        <v>1</v>
      </c>
      <c r="G331" s="0" t="n">
        <v>500</v>
      </c>
      <c r="H331" s="0" t="n">
        <v>0</v>
      </c>
      <c r="I331" s="3" t="s">
        <v>61</v>
      </c>
      <c r="J331" s="0" t="n">
        <v>4</v>
      </c>
      <c r="K331" s="3" t="s">
        <v>26</v>
      </c>
      <c r="L331" s="0" t="str">
        <f aca="false">VLOOKUP(D331,Products!$A$2:$D$13,2,FALSE())</f>
        <v>Electronics</v>
      </c>
      <c r="M331" s="3" t="n">
        <f aca="false">F331*G331*(1-H331/100)</f>
        <v>500</v>
      </c>
      <c r="N331" s="0" t="str">
        <f aca="false">VLOOKUP(I331,Customers!$A$2:$D$121,3,FALSE())</f>
        <v>Delhi</v>
      </c>
      <c r="O331" s="0" t="str">
        <f aca="false">VLOOKUP(I331,Customers!$A$2:$D$121,4,FALSE())</f>
        <v>Retail</v>
      </c>
      <c r="P331" s="0" t="str">
        <f aca="false">TEXT(B331,"yyyy-mm")</f>
        <v>2025-05</v>
      </c>
    </row>
    <row r="332" customFormat="false" ht="15" hidden="false" customHeight="false" outlineLevel="0" collapsed="false">
      <c r="A332" s="0" t="s">
        <v>492</v>
      </c>
      <c r="B332" s="2" t="n">
        <v>46082</v>
      </c>
      <c r="C332" s="3" t="s">
        <v>17</v>
      </c>
      <c r="D332" s="3" t="s">
        <v>37</v>
      </c>
      <c r="E332" s="3" t="s">
        <v>93</v>
      </c>
      <c r="F332" s="0" t="n">
        <v>1</v>
      </c>
      <c r="G332" s="0" t="n">
        <v>500</v>
      </c>
      <c r="H332" s="0" t="n">
        <v>15</v>
      </c>
      <c r="I332" s="3" t="s">
        <v>33</v>
      </c>
      <c r="J332" s="0" t="n">
        <v>1</v>
      </c>
      <c r="K332" s="3" t="s">
        <v>43</v>
      </c>
      <c r="L332" s="0" t="str">
        <f aca="false">VLOOKUP(D332,Products!$A$2:$D$13,2,FALSE())</f>
        <v>Electronics</v>
      </c>
      <c r="M332" s="3" t="n">
        <f aca="false">F332*G332*(1-H332/100)</f>
        <v>425</v>
      </c>
      <c r="N332" s="0" t="str">
        <f aca="false">VLOOKUP(I332,Customers!$A$2:$D$121,3,FALSE())</f>
        <v>Indore</v>
      </c>
      <c r="O332" s="0" t="str">
        <f aca="false">VLOOKUP(I332,Customers!$A$2:$D$121,4,FALSE())</f>
        <v>Corporate</v>
      </c>
      <c r="P332" s="0" t="str">
        <f aca="false">TEXT(B332,"yyyy-mm")</f>
        <v>2026-03</v>
      </c>
    </row>
    <row r="333" customFormat="false" ht="15" hidden="false" customHeight="false" outlineLevel="0" collapsed="false">
      <c r="A333" s="0" t="s">
        <v>493</v>
      </c>
      <c r="B333" s="2" t="n">
        <v>45991</v>
      </c>
      <c r="C333" s="3" t="s">
        <v>23</v>
      </c>
      <c r="D333" s="3" t="s">
        <v>88</v>
      </c>
      <c r="E333" s="3" t="s">
        <v>24</v>
      </c>
      <c r="F333" s="0" t="n">
        <v>4</v>
      </c>
      <c r="G333" s="0" t="n">
        <v>799</v>
      </c>
      <c r="H333" s="0" t="n">
        <v>0</v>
      </c>
      <c r="I333" s="3" t="s">
        <v>53</v>
      </c>
      <c r="J333" s="0" t="n">
        <v>1</v>
      </c>
      <c r="K333" s="3" t="s">
        <v>21</v>
      </c>
      <c r="L333" s="0" t="str">
        <f aca="false">VLOOKUP(D333,Products!$A$2:$D$13,2,FALSE())</f>
        <v>Accessories</v>
      </c>
      <c r="M333" s="3" t="n">
        <f aca="false">F333*G333*(1-H333/100)</f>
        <v>3196</v>
      </c>
      <c r="N333" s="0" t="str">
        <f aca="false">VLOOKUP(I333,Customers!$A$2:$D$121,3,FALSE())</f>
        <v>Nagpur</v>
      </c>
      <c r="O333" s="0" t="str">
        <f aca="false">VLOOKUP(I333,Customers!$A$2:$D$121,4,FALSE())</f>
        <v>Retail</v>
      </c>
      <c r="P333" s="0" t="str">
        <f aca="false">TEXT(B333,"yyyy-mm")</f>
        <v>2025-11</v>
      </c>
    </row>
    <row r="334" customFormat="false" ht="15" hidden="false" customHeight="false" outlineLevel="0" collapsed="false">
      <c r="A334" s="0" t="s">
        <v>494</v>
      </c>
      <c r="B334" s="2" t="n">
        <v>46078</v>
      </c>
      <c r="C334" s="3" t="s">
        <v>51</v>
      </c>
      <c r="D334" s="3" t="s">
        <v>32</v>
      </c>
      <c r="E334" s="3" t="s">
        <v>52</v>
      </c>
      <c r="F334" s="0" t="n">
        <v>3</v>
      </c>
      <c r="G334" s="0" t="n">
        <v>249</v>
      </c>
      <c r="H334" s="0" t="n">
        <v>0</v>
      </c>
      <c r="I334" s="3" t="s">
        <v>276</v>
      </c>
      <c r="J334" s="0" t="n">
        <v>5</v>
      </c>
      <c r="K334" s="3" t="s">
        <v>21</v>
      </c>
      <c r="L334" s="0" t="str">
        <f aca="false">VLOOKUP(D334,Products!$A$2:$D$13,2,FALSE())</f>
        <v>Accessories</v>
      </c>
      <c r="M334" s="3" t="n">
        <f aca="false">F334*G334*(1-H334/100)</f>
        <v>747</v>
      </c>
      <c r="N334" s="0" t="str">
        <f aca="false">VLOOKUP(I334,Customers!$A$2:$D$121,3,FALSE())</f>
        <v>Jaipur</v>
      </c>
      <c r="O334" s="0" t="str">
        <f aca="false">VLOOKUP(I334,Customers!$A$2:$D$121,4,FALSE())</f>
        <v>Retail</v>
      </c>
      <c r="P334" s="0" t="str">
        <f aca="false">TEXT(B334,"yyyy-mm")</f>
        <v>2026-02</v>
      </c>
    </row>
    <row r="335" customFormat="false" ht="15" hidden="false" customHeight="false" outlineLevel="0" collapsed="false">
      <c r="A335" s="0" t="s">
        <v>495</v>
      </c>
      <c r="B335" s="2" t="n">
        <v>46102</v>
      </c>
      <c r="C335" s="3" t="s">
        <v>36</v>
      </c>
      <c r="D335" s="3" t="s">
        <v>28</v>
      </c>
      <c r="E335" s="3" t="s">
        <v>38</v>
      </c>
      <c r="F335" s="0" t="n">
        <v>2</v>
      </c>
      <c r="G335" s="0" t="n">
        <v>450</v>
      </c>
      <c r="H335" s="0" t="n">
        <v>10</v>
      </c>
      <c r="I335" s="3" t="s">
        <v>223</v>
      </c>
      <c r="J335" s="0" t="n">
        <v>3</v>
      </c>
      <c r="K335" s="3" t="s">
        <v>34</v>
      </c>
      <c r="L335" s="0" t="str">
        <f aca="false">VLOOKUP(D335,Products!$A$2:$D$13,2,FALSE())</f>
        <v>Electronics</v>
      </c>
      <c r="M335" s="3" t="n">
        <f aca="false">F335*G335*(1-H335/100)</f>
        <v>810</v>
      </c>
      <c r="N335" s="0" t="str">
        <f aca="false">VLOOKUP(I335,Customers!$A$2:$D$121,3,FALSE())</f>
        <v>Jaipur</v>
      </c>
      <c r="O335" s="0" t="str">
        <f aca="false">VLOOKUP(I335,Customers!$A$2:$D$121,4,FALSE())</f>
        <v>Student</v>
      </c>
      <c r="P335" s="0" t="str">
        <f aca="false">TEXT(B335,"yyyy-mm")</f>
        <v>2026-03</v>
      </c>
    </row>
    <row r="336" customFormat="false" ht="15" hidden="false" customHeight="false" outlineLevel="0" collapsed="false">
      <c r="A336" s="0" t="s">
        <v>496</v>
      </c>
      <c r="B336" s="2" t="n">
        <v>46084</v>
      </c>
      <c r="C336" s="3" t="s">
        <v>23</v>
      </c>
      <c r="D336" s="3" t="s">
        <v>57</v>
      </c>
      <c r="E336" s="3" t="s">
        <v>29</v>
      </c>
      <c r="F336" s="0" t="n">
        <v>1</v>
      </c>
      <c r="G336" s="0" t="n">
        <v>549</v>
      </c>
      <c r="H336" s="0" t="n">
        <v>0</v>
      </c>
      <c r="I336" s="3" t="s">
        <v>221</v>
      </c>
      <c r="J336" s="0" t="n">
        <v>5</v>
      </c>
      <c r="K336" s="3" t="s">
        <v>21</v>
      </c>
      <c r="L336" s="0" t="str">
        <f aca="false">VLOOKUP(D336,Products!$A$2:$D$13,2,FALSE())</f>
        <v>Accessories</v>
      </c>
      <c r="M336" s="3" t="n">
        <f aca="false">F336*G336*(1-H336/100)</f>
        <v>549</v>
      </c>
      <c r="N336" s="0" t="str">
        <f aca="false">VLOOKUP(I336,Customers!$A$2:$D$121,3,FALSE())</f>
        <v>Mumbai</v>
      </c>
      <c r="O336" s="0" t="str">
        <f aca="false">VLOOKUP(I336,Customers!$A$2:$D$121,4,FALSE())</f>
        <v>Retail</v>
      </c>
      <c r="P336" s="0" t="str">
        <f aca="false">TEXT(B336,"yyyy-mm")</f>
        <v>2026-03</v>
      </c>
    </row>
    <row r="337" customFormat="false" ht="15" hidden="false" customHeight="false" outlineLevel="0" collapsed="false">
      <c r="A337" s="0" t="s">
        <v>497</v>
      </c>
      <c r="B337" s="2" t="n">
        <v>45821</v>
      </c>
      <c r="C337" s="3" t="s">
        <v>23</v>
      </c>
      <c r="D337" s="3" t="s">
        <v>28</v>
      </c>
      <c r="E337" s="3" t="s">
        <v>24</v>
      </c>
      <c r="F337" s="0" t="n">
        <v>2</v>
      </c>
      <c r="G337" s="0" t="n">
        <v>450</v>
      </c>
      <c r="H337" s="0" t="n">
        <v>15</v>
      </c>
      <c r="I337" s="3" t="s">
        <v>426</v>
      </c>
      <c r="J337" s="0" t="n">
        <v>4</v>
      </c>
      <c r="K337" s="3" t="s">
        <v>34</v>
      </c>
      <c r="L337" s="0" t="str">
        <f aca="false">VLOOKUP(D337,Products!$A$2:$D$13,2,FALSE())</f>
        <v>Electronics</v>
      </c>
      <c r="M337" s="3" t="n">
        <f aca="false">F337*G337*(1-H337/100)</f>
        <v>765</v>
      </c>
      <c r="N337" s="0" t="str">
        <f aca="false">VLOOKUP(I337,Customers!$A$2:$D$121,3,FALSE())</f>
        <v>Bhopal</v>
      </c>
      <c r="O337" s="0" t="str">
        <f aca="false">VLOOKUP(I337,Customers!$A$2:$D$121,4,FALSE())</f>
        <v>Corporate</v>
      </c>
      <c r="P337" s="0" t="str">
        <f aca="false">TEXT(B337,"yyyy-mm")</f>
        <v>2025-06</v>
      </c>
    </row>
    <row r="338" customFormat="false" ht="15" hidden="false" customHeight="false" outlineLevel="0" collapsed="false">
      <c r="A338" s="0" t="s">
        <v>498</v>
      </c>
      <c r="B338" s="2" t="n">
        <v>45871</v>
      </c>
      <c r="C338" s="3" t="s">
        <v>23</v>
      </c>
      <c r="D338" s="3" t="s">
        <v>108</v>
      </c>
      <c r="E338" s="3" t="s">
        <v>29</v>
      </c>
      <c r="F338" s="0" t="n">
        <v>2</v>
      </c>
      <c r="G338" s="0" t="n">
        <v>180</v>
      </c>
      <c r="H338" s="0" t="n">
        <v>10</v>
      </c>
      <c r="I338" s="3" t="s">
        <v>125</v>
      </c>
      <c r="J338" s="0" t="n">
        <v>5</v>
      </c>
      <c r="K338" s="3" t="s">
        <v>43</v>
      </c>
      <c r="L338" s="0" t="str">
        <f aca="false">VLOOKUP(D338,Products!$A$2:$D$13,2,FALSE())</f>
        <v>Stationery</v>
      </c>
      <c r="M338" s="3" t="n">
        <f aca="false">F338*G338*(1-H338/100)</f>
        <v>324</v>
      </c>
      <c r="N338" s="0" t="str">
        <f aca="false">VLOOKUP(I338,Customers!$A$2:$D$121,3,FALSE())</f>
        <v>Lucknow</v>
      </c>
      <c r="O338" s="0" t="str">
        <f aca="false">VLOOKUP(I338,Customers!$A$2:$D$121,4,FALSE())</f>
        <v>Student</v>
      </c>
      <c r="P338" s="0" t="str">
        <f aca="false">TEXT(B338,"yyyy-mm")</f>
        <v>2025-08</v>
      </c>
    </row>
    <row r="339" customFormat="false" ht="15" hidden="false" customHeight="false" outlineLevel="0" collapsed="false">
      <c r="A339" s="0" t="s">
        <v>499</v>
      </c>
      <c r="B339" s="2" t="n">
        <v>46100</v>
      </c>
      <c r="C339" s="3" t="s">
        <v>36</v>
      </c>
      <c r="D339" s="3" t="s">
        <v>48</v>
      </c>
      <c r="E339" s="3" t="s">
        <v>69</v>
      </c>
      <c r="F339" s="0" t="n">
        <v>1</v>
      </c>
      <c r="G339" s="0" t="n">
        <v>199</v>
      </c>
      <c r="H339" s="0" t="n">
        <v>15</v>
      </c>
      <c r="I339" s="3" t="s">
        <v>324</v>
      </c>
      <c r="J339" s="0" t="n">
        <v>4</v>
      </c>
      <c r="K339" s="3" t="s">
        <v>21</v>
      </c>
      <c r="L339" s="0" t="str">
        <f aca="false">VLOOKUP(D339,Products!$A$2:$D$13,2,FALSE())</f>
        <v>Home</v>
      </c>
      <c r="M339" s="3" t="n">
        <f aca="false">F339*G339*(1-H339/100)</f>
        <v>169.15</v>
      </c>
      <c r="N339" s="0" t="str">
        <f aca="false">VLOOKUP(I339,Customers!$A$2:$D$121,3,FALSE())</f>
        <v>Bhopal</v>
      </c>
      <c r="O339" s="0" t="str">
        <f aca="false">VLOOKUP(I339,Customers!$A$2:$D$121,4,FALSE())</f>
        <v>Retail</v>
      </c>
      <c r="P339" s="0" t="str">
        <f aca="false">TEXT(B339,"yyyy-mm")</f>
        <v>2026-03</v>
      </c>
    </row>
    <row r="340" customFormat="false" ht="15" hidden="false" customHeight="false" outlineLevel="0" collapsed="false">
      <c r="A340" s="0" t="s">
        <v>500</v>
      </c>
      <c r="B340" s="2" t="n">
        <v>45866</v>
      </c>
      <c r="C340" s="3" t="s">
        <v>51</v>
      </c>
      <c r="D340" s="3" t="s">
        <v>45</v>
      </c>
      <c r="E340" s="3" t="s">
        <v>83</v>
      </c>
      <c r="F340" s="0" t="n">
        <v>1</v>
      </c>
      <c r="G340" s="0" t="n">
        <v>30</v>
      </c>
      <c r="H340" s="0" t="n">
        <v>0</v>
      </c>
      <c r="I340" s="3" t="s">
        <v>309</v>
      </c>
      <c r="J340" s="0" t="n">
        <v>4</v>
      </c>
      <c r="K340" s="3" t="s">
        <v>34</v>
      </c>
      <c r="L340" s="0" t="str">
        <f aca="false">VLOOKUP(D340,Products!$A$2:$D$13,2,FALSE())</f>
        <v>Stationery</v>
      </c>
      <c r="M340" s="3" t="n">
        <f aca="false">F340*G340*(1-H340/100)</f>
        <v>30</v>
      </c>
      <c r="N340" s="0" t="str">
        <f aca="false">VLOOKUP(I340,Customers!$A$2:$D$121,3,FALSE())</f>
        <v>Delhi</v>
      </c>
      <c r="O340" s="0" t="str">
        <f aca="false">VLOOKUP(I340,Customers!$A$2:$D$121,4,FALSE())</f>
        <v>Student</v>
      </c>
      <c r="P340" s="0" t="str">
        <f aca="false">TEXT(B340,"yyyy-mm")</f>
        <v>2025-07</v>
      </c>
    </row>
    <row r="341" customFormat="false" ht="15" hidden="false" customHeight="false" outlineLevel="0" collapsed="false">
      <c r="A341" s="0" t="s">
        <v>501</v>
      </c>
      <c r="B341" s="2" t="n">
        <v>45978</v>
      </c>
      <c r="C341" s="3" t="s">
        <v>72</v>
      </c>
      <c r="D341" s="3" t="s">
        <v>60</v>
      </c>
      <c r="E341" s="3" t="s">
        <v>73</v>
      </c>
      <c r="F341" s="0" t="n">
        <v>1</v>
      </c>
      <c r="G341" s="0" t="n">
        <v>40</v>
      </c>
      <c r="H341" s="0" t="n">
        <v>5</v>
      </c>
      <c r="I341" s="3" t="s">
        <v>49</v>
      </c>
      <c r="J341" s="0" t="n">
        <v>4</v>
      </c>
      <c r="K341" s="3" t="s">
        <v>43</v>
      </c>
      <c r="L341" s="0" t="str">
        <f aca="false">VLOOKUP(D341,Products!$A$2:$D$13,2,FALSE())</f>
        <v>Stationery</v>
      </c>
      <c r="M341" s="3" t="n">
        <f aca="false">F341*G341*(1-H341/100)</f>
        <v>38</v>
      </c>
      <c r="N341" s="0" t="str">
        <f aca="false">VLOOKUP(I341,Customers!$A$2:$D$121,3,FALSE())</f>
        <v>Indore</v>
      </c>
      <c r="O341" s="0" t="str">
        <f aca="false">VLOOKUP(I341,Customers!$A$2:$D$121,4,FALSE())</f>
        <v>Student</v>
      </c>
      <c r="P341" s="0" t="str">
        <f aca="false">TEXT(B341,"yyyy-mm")</f>
        <v>2025-11</v>
      </c>
    </row>
    <row r="342" customFormat="false" ht="15" hidden="false" customHeight="false" outlineLevel="0" collapsed="false">
      <c r="A342" s="0" t="s">
        <v>502</v>
      </c>
      <c r="B342" s="2" t="n">
        <v>46086</v>
      </c>
      <c r="C342" s="3" t="s">
        <v>23</v>
      </c>
      <c r="D342" s="3" t="s">
        <v>108</v>
      </c>
      <c r="E342" s="3" t="s">
        <v>29</v>
      </c>
      <c r="F342" s="0" t="n">
        <v>2</v>
      </c>
      <c r="G342" s="0" t="n">
        <v>180</v>
      </c>
      <c r="H342" s="0" t="n">
        <v>5</v>
      </c>
      <c r="I342" s="3" t="s">
        <v>324</v>
      </c>
      <c r="J342" s="0" t="n">
        <v>5</v>
      </c>
      <c r="K342" s="3" t="s">
        <v>26</v>
      </c>
      <c r="L342" s="0" t="str">
        <f aca="false">VLOOKUP(D342,Products!$A$2:$D$13,2,FALSE())</f>
        <v>Stationery</v>
      </c>
      <c r="M342" s="3" t="n">
        <f aca="false">F342*G342*(1-H342/100)</f>
        <v>342</v>
      </c>
      <c r="N342" s="0" t="str">
        <f aca="false">VLOOKUP(I342,Customers!$A$2:$D$121,3,FALSE())</f>
        <v>Bhopal</v>
      </c>
      <c r="O342" s="0" t="str">
        <f aca="false">VLOOKUP(I342,Customers!$A$2:$D$121,4,FALSE())</f>
        <v>Retail</v>
      </c>
      <c r="P342" s="0" t="str">
        <f aca="false">TEXT(B342,"yyyy-mm")</f>
        <v>2026-03</v>
      </c>
    </row>
    <row r="343" customFormat="false" ht="15" hidden="false" customHeight="false" outlineLevel="0" collapsed="false">
      <c r="A343" s="0" t="s">
        <v>503</v>
      </c>
      <c r="B343" s="2" t="n">
        <v>45790</v>
      </c>
      <c r="C343" s="3" t="s">
        <v>17</v>
      </c>
      <c r="D343" s="3" t="s">
        <v>48</v>
      </c>
      <c r="E343" s="3" t="s">
        <v>19</v>
      </c>
      <c r="F343" s="0" t="n">
        <v>2</v>
      </c>
      <c r="G343" s="0" t="n">
        <v>199</v>
      </c>
      <c r="H343" s="0" t="n">
        <v>0</v>
      </c>
      <c r="I343" s="3" t="s">
        <v>485</v>
      </c>
      <c r="J343" s="0" t="n">
        <v>4</v>
      </c>
      <c r="K343" s="3" t="s">
        <v>43</v>
      </c>
      <c r="L343" s="0" t="str">
        <f aca="false">VLOOKUP(D343,Products!$A$2:$D$13,2,FALSE())</f>
        <v>Home</v>
      </c>
      <c r="M343" s="3" t="n">
        <f aca="false">F343*G343*(1-H343/100)</f>
        <v>398</v>
      </c>
      <c r="N343" s="0" t="str">
        <f aca="false">VLOOKUP(I343,Customers!$A$2:$D$121,3,FALSE())</f>
        <v>Indore</v>
      </c>
      <c r="O343" s="0" t="str">
        <f aca="false">VLOOKUP(I343,Customers!$A$2:$D$121,4,FALSE())</f>
        <v>Retail</v>
      </c>
      <c r="P343" s="0" t="str">
        <f aca="false">TEXT(B343,"yyyy-mm")</f>
        <v>2025-05</v>
      </c>
    </row>
    <row r="344" customFormat="false" ht="15" hidden="false" customHeight="false" outlineLevel="0" collapsed="false">
      <c r="A344" s="0" t="s">
        <v>504</v>
      </c>
      <c r="B344" s="2" t="n">
        <v>45802</v>
      </c>
      <c r="C344" s="3" t="s">
        <v>72</v>
      </c>
      <c r="D344" s="3" t="s">
        <v>41</v>
      </c>
      <c r="E344" s="3" t="s">
        <v>73</v>
      </c>
      <c r="F344" s="0" t="n">
        <v>1</v>
      </c>
      <c r="G344" s="0" t="n">
        <v>399</v>
      </c>
      <c r="H344" s="0" t="n">
        <v>0</v>
      </c>
      <c r="I344" s="3" t="s">
        <v>130</v>
      </c>
      <c r="J344" s="0" t="n">
        <v>5</v>
      </c>
      <c r="K344" s="3" t="s">
        <v>34</v>
      </c>
      <c r="L344" s="0" t="str">
        <f aca="false">VLOOKUP(D344,Products!$A$2:$D$13,2,FALSE())</f>
        <v>Electronics</v>
      </c>
      <c r="M344" s="3" t="n">
        <f aca="false">F344*G344*(1-H344/100)</f>
        <v>399</v>
      </c>
      <c r="N344" s="0" t="str">
        <f aca="false">VLOOKUP(I344,Customers!$A$2:$D$121,3,FALSE())</f>
        <v>Nagpur</v>
      </c>
      <c r="O344" s="0" t="str">
        <f aca="false">VLOOKUP(I344,Customers!$A$2:$D$121,4,FALSE())</f>
        <v>Retail</v>
      </c>
      <c r="P344" s="0" t="str">
        <f aca="false">TEXT(B344,"yyyy-mm")</f>
        <v>2025-05</v>
      </c>
    </row>
    <row r="345" customFormat="false" ht="15" hidden="false" customHeight="false" outlineLevel="0" collapsed="false">
      <c r="A345" s="0" t="s">
        <v>505</v>
      </c>
      <c r="B345" s="2" t="n">
        <v>45815</v>
      </c>
      <c r="C345" s="3" t="s">
        <v>17</v>
      </c>
      <c r="D345" s="3" t="s">
        <v>37</v>
      </c>
      <c r="E345" s="3" t="s">
        <v>93</v>
      </c>
      <c r="F345" s="0" t="n">
        <v>1</v>
      </c>
      <c r="G345" s="0" t="n">
        <v>500</v>
      </c>
      <c r="H345" s="0" t="n">
        <v>0</v>
      </c>
      <c r="I345" s="3" t="s">
        <v>178</v>
      </c>
      <c r="J345" s="0" t="n">
        <v>4</v>
      </c>
      <c r="K345" s="3" t="s">
        <v>21</v>
      </c>
      <c r="L345" s="0" t="str">
        <f aca="false">VLOOKUP(D345,Products!$A$2:$D$13,2,FALSE())</f>
        <v>Electronics</v>
      </c>
      <c r="M345" s="3" t="n">
        <f aca="false">F345*G345*(1-H345/100)</f>
        <v>500</v>
      </c>
      <c r="N345" s="0" t="str">
        <f aca="false">VLOOKUP(I345,Customers!$A$2:$D$121,3,FALSE())</f>
        <v>Nagpur</v>
      </c>
      <c r="O345" s="0" t="str">
        <f aca="false">VLOOKUP(I345,Customers!$A$2:$D$121,4,FALSE())</f>
        <v>Student</v>
      </c>
      <c r="P345" s="0" t="str">
        <f aca="false">TEXT(B345,"yyyy-mm")</f>
        <v>2025-06</v>
      </c>
    </row>
    <row r="346" customFormat="false" ht="15" hidden="false" customHeight="false" outlineLevel="0" collapsed="false">
      <c r="A346" s="0" t="s">
        <v>506</v>
      </c>
      <c r="B346" s="2" t="n">
        <v>45929</v>
      </c>
      <c r="C346" s="3" t="s">
        <v>17</v>
      </c>
      <c r="D346" s="3" t="s">
        <v>60</v>
      </c>
      <c r="E346" s="3" t="s">
        <v>93</v>
      </c>
      <c r="F346" s="0" t="n">
        <v>2</v>
      </c>
      <c r="G346" s="0" t="n">
        <v>40</v>
      </c>
      <c r="H346" s="0" t="n">
        <v>10</v>
      </c>
      <c r="I346" s="3" t="s">
        <v>67</v>
      </c>
      <c r="J346" s="0" t="n">
        <v>4</v>
      </c>
      <c r="K346" s="3" t="s">
        <v>43</v>
      </c>
      <c r="L346" s="0" t="str">
        <f aca="false">VLOOKUP(D346,Products!$A$2:$D$13,2,FALSE())</f>
        <v>Stationery</v>
      </c>
      <c r="M346" s="3" t="n">
        <f aca="false">F346*G346*(1-H346/100)</f>
        <v>72</v>
      </c>
      <c r="N346" s="0" t="str">
        <f aca="false">VLOOKUP(I346,Customers!$A$2:$D$121,3,FALSE())</f>
        <v>Jaipur</v>
      </c>
      <c r="O346" s="0" t="str">
        <f aca="false">VLOOKUP(I346,Customers!$A$2:$D$121,4,FALSE())</f>
        <v>Corporate</v>
      </c>
      <c r="P346" s="0" t="str">
        <f aca="false">TEXT(B346,"yyyy-mm")</f>
        <v>2025-09</v>
      </c>
    </row>
    <row r="347" customFormat="false" ht="15" hidden="false" customHeight="false" outlineLevel="0" collapsed="false">
      <c r="A347" s="0" t="s">
        <v>507</v>
      </c>
      <c r="B347" s="2" t="n">
        <v>45959</v>
      </c>
      <c r="C347" s="3" t="s">
        <v>72</v>
      </c>
      <c r="D347" s="3" t="s">
        <v>60</v>
      </c>
      <c r="E347" s="3" t="s">
        <v>89</v>
      </c>
      <c r="F347" s="0" t="n">
        <v>2</v>
      </c>
      <c r="G347" s="0" t="n">
        <v>40</v>
      </c>
      <c r="H347" s="0" t="n">
        <v>5</v>
      </c>
      <c r="I347" s="3" t="s">
        <v>337</v>
      </c>
      <c r="J347" s="0" t="n">
        <v>2</v>
      </c>
      <c r="K347" s="3" t="s">
        <v>26</v>
      </c>
      <c r="L347" s="0" t="str">
        <f aca="false">VLOOKUP(D347,Products!$A$2:$D$13,2,FALSE())</f>
        <v>Stationery</v>
      </c>
      <c r="M347" s="3" t="n">
        <f aca="false">F347*G347*(1-H347/100)</f>
        <v>76</v>
      </c>
      <c r="N347" s="0" t="str">
        <f aca="false">VLOOKUP(I347,Customers!$A$2:$D$121,3,FALSE())</f>
        <v>Lucknow</v>
      </c>
      <c r="O347" s="0" t="str">
        <f aca="false">VLOOKUP(I347,Customers!$A$2:$D$121,4,FALSE())</f>
        <v>Student</v>
      </c>
      <c r="P347" s="0" t="str">
        <f aca="false">TEXT(B347,"yyyy-mm")</f>
        <v>2025-10</v>
      </c>
    </row>
    <row r="348" customFormat="false" ht="15" hidden="false" customHeight="false" outlineLevel="0" collapsed="false">
      <c r="A348" s="0" t="s">
        <v>508</v>
      </c>
      <c r="B348" s="2" t="n">
        <v>45834</v>
      </c>
      <c r="C348" s="3" t="s">
        <v>51</v>
      </c>
      <c r="D348" s="3" t="s">
        <v>18</v>
      </c>
      <c r="E348" s="3" t="s">
        <v>83</v>
      </c>
      <c r="F348" s="0" t="n">
        <v>4</v>
      </c>
      <c r="G348" s="0" t="n">
        <v>349</v>
      </c>
      <c r="H348" s="0" t="n">
        <v>0</v>
      </c>
      <c r="I348" s="3" t="s">
        <v>195</v>
      </c>
      <c r="J348" s="0" t="n">
        <v>3</v>
      </c>
      <c r="K348" s="3" t="s">
        <v>26</v>
      </c>
      <c r="L348" s="0" t="str">
        <f aca="false">VLOOKUP(D348,Products!$A$2:$D$13,2,FALSE())</f>
        <v>Home</v>
      </c>
      <c r="M348" s="3" t="n">
        <f aca="false">F348*G348*(1-H348/100)</f>
        <v>1396</v>
      </c>
      <c r="N348" s="0" t="str">
        <f aca="false">VLOOKUP(I348,Customers!$A$2:$D$121,3,FALSE())</f>
        <v>Pune</v>
      </c>
      <c r="O348" s="0" t="str">
        <f aca="false">VLOOKUP(I348,Customers!$A$2:$D$121,4,FALSE())</f>
        <v>Student</v>
      </c>
      <c r="P348" s="0" t="str">
        <f aca="false">TEXT(B348,"yyyy-mm")</f>
        <v>2025-06</v>
      </c>
    </row>
    <row r="349" customFormat="false" ht="15" hidden="false" customHeight="false" outlineLevel="0" collapsed="false">
      <c r="A349" s="0" t="s">
        <v>509</v>
      </c>
      <c r="B349" s="2" t="n">
        <v>45970</v>
      </c>
      <c r="C349" s="3" t="s">
        <v>36</v>
      </c>
      <c r="D349" s="3" t="s">
        <v>45</v>
      </c>
      <c r="E349" s="3" t="s">
        <v>38</v>
      </c>
      <c r="F349" s="0" t="n">
        <v>2</v>
      </c>
      <c r="G349" s="0" t="n">
        <v>30</v>
      </c>
      <c r="H349" s="0" t="n">
        <v>0</v>
      </c>
      <c r="I349" s="3" t="s">
        <v>322</v>
      </c>
      <c r="J349" s="0" t="n">
        <v>3</v>
      </c>
      <c r="K349" s="3" t="s">
        <v>34</v>
      </c>
      <c r="L349" s="0" t="str">
        <f aca="false">VLOOKUP(D349,Products!$A$2:$D$13,2,FALSE())</f>
        <v>Stationery</v>
      </c>
      <c r="M349" s="3" t="n">
        <f aca="false">F349*G349*(1-H349/100)</f>
        <v>60</v>
      </c>
      <c r="N349" s="0" t="str">
        <f aca="false">VLOOKUP(I349,Customers!$A$2:$D$121,3,FALSE())</f>
        <v>Kolkata</v>
      </c>
      <c r="O349" s="0" t="str">
        <f aca="false">VLOOKUP(I349,Customers!$A$2:$D$121,4,FALSE())</f>
        <v>Retail</v>
      </c>
      <c r="P349" s="0" t="str">
        <f aca="false">TEXT(B349,"yyyy-mm")</f>
        <v>2025-11</v>
      </c>
    </row>
    <row r="350" customFormat="false" ht="15" hidden="false" customHeight="false" outlineLevel="0" collapsed="false">
      <c r="A350" s="0" t="s">
        <v>510</v>
      </c>
      <c r="B350" s="2" t="n">
        <v>46068</v>
      </c>
      <c r="C350" s="3" t="s">
        <v>36</v>
      </c>
      <c r="D350" s="3" t="s">
        <v>37</v>
      </c>
      <c r="E350" s="3" t="s">
        <v>69</v>
      </c>
      <c r="F350" s="0" t="n">
        <v>1</v>
      </c>
      <c r="G350" s="0" t="n">
        <v>500</v>
      </c>
      <c r="H350" s="0" t="n">
        <v>5</v>
      </c>
      <c r="I350" s="3" t="s">
        <v>70</v>
      </c>
      <c r="J350" s="0" t="n">
        <v>4</v>
      </c>
      <c r="K350" s="3" t="s">
        <v>21</v>
      </c>
      <c r="L350" s="0" t="str">
        <f aca="false">VLOOKUP(D350,Products!$A$2:$D$13,2,FALSE())</f>
        <v>Electronics</v>
      </c>
      <c r="M350" s="3" t="n">
        <f aca="false">F350*G350*(1-H350/100)</f>
        <v>475</v>
      </c>
      <c r="N350" s="0" t="str">
        <f aca="false">VLOOKUP(I350,Customers!$A$2:$D$121,3,FALSE())</f>
        <v>Bhopal</v>
      </c>
      <c r="O350" s="0" t="str">
        <f aca="false">VLOOKUP(I350,Customers!$A$2:$D$121,4,FALSE())</f>
        <v>Retail</v>
      </c>
      <c r="P350" s="0" t="str">
        <f aca="false">TEXT(B350,"yyyy-mm")</f>
        <v>2026-02</v>
      </c>
    </row>
    <row r="351" customFormat="false" ht="15" hidden="false" customHeight="false" outlineLevel="0" collapsed="false">
      <c r="A351" s="0" t="s">
        <v>511</v>
      </c>
      <c r="B351" s="2" t="n">
        <v>45751</v>
      </c>
      <c r="C351" s="3" t="s">
        <v>72</v>
      </c>
      <c r="D351" s="3" t="s">
        <v>108</v>
      </c>
      <c r="E351" s="3" t="s">
        <v>73</v>
      </c>
      <c r="F351" s="0" t="n">
        <v>1</v>
      </c>
      <c r="G351" s="0" t="n">
        <v>180</v>
      </c>
      <c r="H351" s="0" t="n">
        <v>5</v>
      </c>
      <c r="I351" s="3" t="s">
        <v>256</v>
      </c>
      <c r="J351" s="0" t="n">
        <v>5</v>
      </c>
      <c r="K351" s="3" t="s">
        <v>34</v>
      </c>
      <c r="L351" s="0" t="str">
        <f aca="false">VLOOKUP(D351,Products!$A$2:$D$13,2,FALSE())</f>
        <v>Stationery</v>
      </c>
      <c r="M351" s="3" t="n">
        <f aca="false">F351*G351*(1-H351/100)</f>
        <v>171</v>
      </c>
      <c r="N351" s="0" t="str">
        <f aca="false">VLOOKUP(I351,Customers!$A$2:$D$121,3,FALSE())</f>
        <v>Lucknow</v>
      </c>
      <c r="O351" s="0" t="str">
        <f aca="false">VLOOKUP(I351,Customers!$A$2:$D$121,4,FALSE())</f>
        <v>Corporate</v>
      </c>
      <c r="P351" s="0" t="str">
        <f aca="false">TEXT(B351,"yyyy-mm")</f>
        <v>2025-04</v>
      </c>
    </row>
    <row r="352" customFormat="false" ht="15" hidden="false" customHeight="false" outlineLevel="0" collapsed="false">
      <c r="A352" s="0" t="s">
        <v>512</v>
      </c>
      <c r="B352" s="2" t="n">
        <v>45968</v>
      </c>
      <c r="C352" s="3" t="s">
        <v>72</v>
      </c>
      <c r="D352" s="3" t="s">
        <v>32</v>
      </c>
      <c r="E352" s="3" t="s">
        <v>73</v>
      </c>
      <c r="F352" s="0" t="n">
        <v>2</v>
      </c>
      <c r="G352" s="0" t="n">
        <v>249</v>
      </c>
      <c r="H352" s="0" t="n">
        <v>15</v>
      </c>
      <c r="I352" s="3" t="s">
        <v>70</v>
      </c>
      <c r="J352" s="0" t="n">
        <v>3</v>
      </c>
      <c r="K352" s="3" t="s">
        <v>26</v>
      </c>
      <c r="L352" s="0" t="str">
        <f aca="false">VLOOKUP(D352,Products!$A$2:$D$13,2,FALSE())</f>
        <v>Accessories</v>
      </c>
      <c r="M352" s="3" t="n">
        <f aca="false">F352*G352*(1-H352/100)</f>
        <v>423.3</v>
      </c>
      <c r="N352" s="0" t="str">
        <f aca="false">VLOOKUP(I352,Customers!$A$2:$D$121,3,FALSE())</f>
        <v>Bhopal</v>
      </c>
      <c r="O352" s="0" t="str">
        <f aca="false">VLOOKUP(I352,Customers!$A$2:$D$121,4,FALSE())</f>
        <v>Retail</v>
      </c>
      <c r="P352" s="0" t="str">
        <f aca="false">TEXT(B352,"yyyy-mm")</f>
        <v>2025-11</v>
      </c>
    </row>
    <row r="353" customFormat="false" ht="15" hidden="false" customHeight="false" outlineLevel="0" collapsed="false">
      <c r="A353" s="0" t="s">
        <v>513</v>
      </c>
      <c r="B353" s="2" t="n">
        <v>45838</v>
      </c>
      <c r="C353" s="3" t="s">
        <v>72</v>
      </c>
      <c r="D353" s="3" t="s">
        <v>32</v>
      </c>
      <c r="E353" s="3" t="s">
        <v>73</v>
      </c>
      <c r="F353" s="0" t="n">
        <v>1</v>
      </c>
      <c r="G353" s="0" t="n">
        <v>249</v>
      </c>
      <c r="H353" s="0" t="n">
        <v>5</v>
      </c>
      <c r="I353" s="3" t="s">
        <v>239</v>
      </c>
      <c r="J353" s="0" t="n">
        <v>3</v>
      </c>
      <c r="K353" s="3" t="s">
        <v>26</v>
      </c>
      <c r="L353" s="0" t="str">
        <f aca="false">VLOOKUP(D353,Products!$A$2:$D$13,2,FALSE())</f>
        <v>Accessories</v>
      </c>
      <c r="M353" s="3" t="n">
        <f aca="false">F353*G353*(1-H353/100)</f>
        <v>236.55</v>
      </c>
      <c r="N353" s="0" t="str">
        <f aca="false">VLOOKUP(I353,Customers!$A$2:$D$121,3,FALSE())</f>
        <v>Lucknow</v>
      </c>
      <c r="O353" s="0" t="str">
        <f aca="false">VLOOKUP(I353,Customers!$A$2:$D$121,4,FALSE())</f>
        <v>Retail</v>
      </c>
      <c r="P353" s="0" t="str">
        <f aca="false">TEXT(B353,"yyyy-mm")</f>
        <v>2025-06</v>
      </c>
    </row>
    <row r="354" customFormat="false" ht="15" hidden="false" customHeight="false" outlineLevel="0" collapsed="false">
      <c r="A354" s="0" t="s">
        <v>514</v>
      </c>
      <c r="B354" s="2" t="n">
        <v>45891</v>
      </c>
      <c r="C354" s="3" t="s">
        <v>51</v>
      </c>
      <c r="D354" s="3" t="s">
        <v>41</v>
      </c>
      <c r="E354" s="3" t="s">
        <v>52</v>
      </c>
      <c r="F354" s="0" t="n">
        <v>2</v>
      </c>
      <c r="G354" s="0" t="n">
        <v>399</v>
      </c>
      <c r="H354" s="0" t="n">
        <v>5</v>
      </c>
      <c r="I354" s="3" t="s">
        <v>193</v>
      </c>
      <c r="J354" s="0" t="n">
        <v>2</v>
      </c>
      <c r="K354" s="3" t="s">
        <v>26</v>
      </c>
      <c r="L354" s="0" t="str">
        <f aca="false">VLOOKUP(D354,Products!$A$2:$D$13,2,FALSE())</f>
        <v>Electronics</v>
      </c>
      <c r="M354" s="3" t="n">
        <f aca="false">F354*G354*(1-H354/100)</f>
        <v>758.1</v>
      </c>
      <c r="N354" s="0" t="str">
        <f aca="false">VLOOKUP(I354,Customers!$A$2:$D$121,3,FALSE())</f>
        <v>Delhi</v>
      </c>
      <c r="O354" s="0" t="str">
        <f aca="false">VLOOKUP(I354,Customers!$A$2:$D$121,4,FALSE())</f>
        <v>Retail</v>
      </c>
      <c r="P354" s="0" t="str">
        <f aca="false">TEXT(B354,"yyyy-mm")</f>
        <v>2025-08</v>
      </c>
    </row>
    <row r="355" customFormat="false" ht="15" hidden="false" customHeight="false" outlineLevel="0" collapsed="false">
      <c r="A355" s="0" t="s">
        <v>515</v>
      </c>
      <c r="B355" s="2" t="n">
        <v>45761</v>
      </c>
      <c r="C355" s="3" t="s">
        <v>23</v>
      </c>
      <c r="D355" s="3" t="s">
        <v>18</v>
      </c>
      <c r="E355" s="3" t="s">
        <v>24</v>
      </c>
      <c r="F355" s="0" t="n">
        <v>5</v>
      </c>
      <c r="G355" s="0" t="n">
        <v>349</v>
      </c>
      <c r="H355" s="0" t="n">
        <v>15</v>
      </c>
      <c r="I355" s="3" t="s">
        <v>163</v>
      </c>
      <c r="J355" s="0" t="n">
        <v>5</v>
      </c>
      <c r="K355" s="3" t="s">
        <v>43</v>
      </c>
      <c r="L355" s="0" t="str">
        <f aca="false">VLOOKUP(D355,Products!$A$2:$D$13,2,FALSE())</f>
        <v>Home</v>
      </c>
      <c r="M355" s="3" t="n">
        <f aca="false">F355*G355*(1-H355/100)</f>
        <v>1483.25</v>
      </c>
      <c r="N355" s="0" t="str">
        <f aca="false">VLOOKUP(I355,Customers!$A$2:$D$121,3,FALSE())</f>
        <v>Kolkata</v>
      </c>
      <c r="O355" s="0" t="str">
        <f aca="false">VLOOKUP(I355,Customers!$A$2:$D$121,4,FALSE())</f>
        <v>Student</v>
      </c>
      <c r="P355" s="0" t="str">
        <f aca="false">TEXT(B355,"yyyy-mm")</f>
        <v>2025-04</v>
      </c>
    </row>
    <row r="356" customFormat="false" ht="15" hidden="false" customHeight="false" outlineLevel="0" collapsed="false">
      <c r="A356" s="0" t="s">
        <v>516</v>
      </c>
      <c r="B356" s="2" t="n">
        <v>45957</v>
      </c>
      <c r="C356" s="3" t="s">
        <v>17</v>
      </c>
      <c r="D356" s="3" t="s">
        <v>37</v>
      </c>
      <c r="E356" s="3" t="s">
        <v>93</v>
      </c>
      <c r="F356" s="0" t="n">
        <v>2</v>
      </c>
      <c r="G356" s="0" t="n">
        <v>500</v>
      </c>
      <c r="H356" s="0" t="n">
        <v>15</v>
      </c>
      <c r="I356" s="3" t="s">
        <v>411</v>
      </c>
      <c r="J356" s="0" t="n">
        <v>3</v>
      </c>
      <c r="K356" s="3" t="s">
        <v>26</v>
      </c>
      <c r="L356" s="0" t="str">
        <f aca="false">VLOOKUP(D356,Products!$A$2:$D$13,2,FALSE())</f>
        <v>Electronics</v>
      </c>
      <c r="M356" s="3" t="n">
        <f aca="false">F356*G356*(1-H356/100)</f>
        <v>850</v>
      </c>
      <c r="N356" s="0" t="str">
        <f aca="false">VLOOKUP(I356,Customers!$A$2:$D$121,3,FALSE())</f>
        <v>Pune</v>
      </c>
      <c r="O356" s="0" t="str">
        <f aca="false">VLOOKUP(I356,Customers!$A$2:$D$121,4,FALSE())</f>
        <v>Corporate</v>
      </c>
      <c r="P356" s="0" t="str">
        <f aca="false">TEXT(B356,"yyyy-mm")</f>
        <v>2025-10</v>
      </c>
    </row>
    <row r="357" customFormat="false" ht="15" hidden="false" customHeight="false" outlineLevel="0" collapsed="false">
      <c r="A357" s="0" t="s">
        <v>517</v>
      </c>
      <c r="B357" s="2" t="n">
        <v>45964</v>
      </c>
      <c r="C357" s="3" t="s">
        <v>36</v>
      </c>
      <c r="D357" s="3" t="s">
        <v>37</v>
      </c>
      <c r="E357" s="3" t="s">
        <v>69</v>
      </c>
      <c r="F357" s="0" t="n">
        <v>1</v>
      </c>
      <c r="G357" s="0" t="n">
        <v>500</v>
      </c>
      <c r="H357" s="0" t="n">
        <v>5</v>
      </c>
      <c r="I357" s="3" t="s">
        <v>225</v>
      </c>
      <c r="J357" s="0" t="n">
        <v>4</v>
      </c>
      <c r="K357" s="3" t="s">
        <v>43</v>
      </c>
      <c r="L357" s="0" t="str">
        <f aca="false">VLOOKUP(D357,Products!$A$2:$D$13,2,FALSE())</f>
        <v>Electronics</v>
      </c>
      <c r="M357" s="3" t="n">
        <f aca="false">F357*G357*(1-H357/100)</f>
        <v>475</v>
      </c>
      <c r="N357" s="0" t="str">
        <f aca="false">VLOOKUP(I357,Customers!$A$2:$D$121,3,FALSE())</f>
        <v>Bhopal</v>
      </c>
      <c r="O357" s="0" t="str">
        <f aca="false">VLOOKUP(I357,Customers!$A$2:$D$121,4,FALSE())</f>
        <v>Retail</v>
      </c>
      <c r="P357" s="0" t="str">
        <f aca="false">TEXT(B357,"yyyy-mm")</f>
        <v>2025-11</v>
      </c>
    </row>
    <row r="358" customFormat="false" ht="15" hidden="false" customHeight="false" outlineLevel="0" collapsed="false">
      <c r="A358" s="0" t="s">
        <v>518</v>
      </c>
      <c r="B358" s="2" t="n">
        <v>46102</v>
      </c>
      <c r="C358" s="3" t="s">
        <v>23</v>
      </c>
      <c r="D358" s="3" t="s">
        <v>57</v>
      </c>
      <c r="E358" s="3" t="s">
        <v>29</v>
      </c>
      <c r="F358" s="0" t="n">
        <v>2</v>
      </c>
      <c r="G358" s="0" t="n">
        <v>549</v>
      </c>
      <c r="H358" s="0" t="n">
        <v>5</v>
      </c>
      <c r="I358" s="3" t="s">
        <v>106</v>
      </c>
      <c r="J358" s="0" t="n">
        <v>1</v>
      </c>
      <c r="K358" s="3" t="s">
        <v>21</v>
      </c>
      <c r="L358" s="0" t="str">
        <f aca="false">VLOOKUP(D358,Products!$A$2:$D$13,2,FALSE())</f>
        <v>Accessories</v>
      </c>
      <c r="M358" s="3" t="n">
        <f aca="false">F358*G358*(1-H358/100)</f>
        <v>1043.1</v>
      </c>
      <c r="N358" s="0" t="str">
        <f aca="false">VLOOKUP(I358,Customers!$A$2:$D$121,3,FALSE())</f>
        <v>Bhopal</v>
      </c>
      <c r="O358" s="0" t="str">
        <f aca="false">VLOOKUP(I358,Customers!$A$2:$D$121,4,FALSE())</f>
        <v>Corporate</v>
      </c>
      <c r="P358" s="0" t="str">
        <f aca="false">TEXT(B358,"yyyy-mm")</f>
        <v>2026-03</v>
      </c>
    </row>
    <row r="359" customFormat="false" ht="15" hidden="false" customHeight="false" outlineLevel="0" collapsed="false">
      <c r="A359" s="0" t="s">
        <v>519</v>
      </c>
      <c r="B359" s="2" t="n">
        <v>46084</v>
      </c>
      <c r="C359" s="3" t="s">
        <v>36</v>
      </c>
      <c r="D359" s="3" t="s">
        <v>45</v>
      </c>
      <c r="E359" s="3" t="s">
        <v>38</v>
      </c>
      <c r="F359" s="0" t="n">
        <v>2</v>
      </c>
      <c r="G359" s="0" t="n">
        <v>30</v>
      </c>
      <c r="H359" s="0" t="n">
        <v>15</v>
      </c>
      <c r="I359" s="3" t="s">
        <v>135</v>
      </c>
      <c r="J359" s="0" t="n">
        <v>3</v>
      </c>
      <c r="K359" s="3" t="s">
        <v>43</v>
      </c>
      <c r="L359" s="0" t="str">
        <f aca="false">VLOOKUP(D359,Products!$A$2:$D$13,2,FALSE())</f>
        <v>Stationery</v>
      </c>
      <c r="M359" s="3" t="n">
        <f aca="false">F359*G359*(1-H359/100)</f>
        <v>51</v>
      </c>
      <c r="N359" s="0" t="str">
        <f aca="false">VLOOKUP(I359,Customers!$A$2:$D$121,3,FALSE())</f>
        <v>Jaipur</v>
      </c>
      <c r="O359" s="0" t="str">
        <f aca="false">VLOOKUP(I359,Customers!$A$2:$D$121,4,FALSE())</f>
        <v>Corporate</v>
      </c>
      <c r="P359" s="0" t="str">
        <f aca="false">TEXT(B359,"yyyy-mm")</f>
        <v>2026-03</v>
      </c>
    </row>
    <row r="360" customFormat="false" ht="15" hidden="false" customHeight="false" outlineLevel="0" collapsed="false">
      <c r="A360" s="0" t="s">
        <v>520</v>
      </c>
      <c r="B360" s="2" t="n">
        <v>45802</v>
      </c>
      <c r="C360" s="3" t="s">
        <v>51</v>
      </c>
      <c r="D360" s="3" t="s">
        <v>41</v>
      </c>
      <c r="E360" s="3" t="s">
        <v>52</v>
      </c>
      <c r="F360" s="0" t="n">
        <v>2</v>
      </c>
      <c r="G360" s="0" t="n">
        <v>399</v>
      </c>
      <c r="H360" s="0" t="n">
        <v>0</v>
      </c>
      <c r="I360" s="3" t="s">
        <v>98</v>
      </c>
      <c r="J360" s="0" t="n">
        <v>3</v>
      </c>
      <c r="K360" s="3" t="s">
        <v>43</v>
      </c>
      <c r="L360" s="0" t="str">
        <f aca="false">VLOOKUP(D360,Products!$A$2:$D$13,2,FALSE())</f>
        <v>Electronics</v>
      </c>
      <c r="M360" s="3" t="n">
        <f aca="false">F360*G360*(1-H360/100)</f>
        <v>798</v>
      </c>
      <c r="N360" s="0" t="str">
        <f aca="false">VLOOKUP(I360,Customers!$A$2:$D$121,3,FALSE())</f>
        <v>Pune</v>
      </c>
      <c r="O360" s="0" t="str">
        <f aca="false">VLOOKUP(I360,Customers!$A$2:$D$121,4,FALSE())</f>
        <v>Retail</v>
      </c>
      <c r="P360" s="0" t="str">
        <f aca="false">TEXT(B360,"yyyy-mm")</f>
        <v>2025-05</v>
      </c>
    </row>
    <row r="361" customFormat="false" ht="15" hidden="false" customHeight="false" outlineLevel="0" collapsed="false">
      <c r="A361" s="0" t="s">
        <v>521</v>
      </c>
      <c r="B361" s="2" t="n">
        <v>45985</v>
      </c>
      <c r="C361" s="3" t="s">
        <v>51</v>
      </c>
      <c r="D361" s="3" t="s">
        <v>41</v>
      </c>
      <c r="E361" s="3" t="s">
        <v>52</v>
      </c>
      <c r="F361" s="0" t="n">
        <v>5</v>
      </c>
      <c r="G361" s="0" t="n">
        <v>399</v>
      </c>
      <c r="H361" s="0" t="n">
        <v>15</v>
      </c>
      <c r="I361" s="3" t="s">
        <v>335</v>
      </c>
      <c r="J361" s="0" t="n">
        <v>4</v>
      </c>
      <c r="K361" s="3" t="s">
        <v>34</v>
      </c>
      <c r="L361" s="0" t="str">
        <f aca="false">VLOOKUP(D361,Products!$A$2:$D$13,2,FALSE())</f>
        <v>Electronics</v>
      </c>
      <c r="M361" s="3" t="n">
        <f aca="false">F361*G361*(1-H361/100)</f>
        <v>1695.75</v>
      </c>
      <c r="N361" s="0" t="str">
        <f aca="false">VLOOKUP(I361,Customers!$A$2:$D$121,3,FALSE())</f>
        <v>Bhopal</v>
      </c>
      <c r="O361" s="0" t="str">
        <f aca="false">VLOOKUP(I361,Customers!$A$2:$D$121,4,FALSE())</f>
        <v>Retail</v>
      </c>
      <c r="P361" s="0" t="str">
        <f aca="false">TEXT(B361,"yyyy-mm")</f>
        <v>2025-11</v>
      </c>
    </row>
    <row r="362" customFormat="false" ht="15" hidden="false" customHeight="false" outlineLevel="0" collapsed="false">
      <c r="A362" s="0" t="s">
        <v>522</v>
      </c>
      <c r="B362" s="2" t="n">
        <v>45801</v>
      </c>
      <c r="C362" s="3" t="s">
        <v>51</v>
      </c>
      <c r="D362" s="3" t="s">
        <v>60</v>
      </c>
      <c r="E362" s="3" t="s">
        <v>52</v>
      </c>
      <c r="F362" s="0" t="n">
        <v>1</v>
      </c>
      <c r="G362" s="0" t="n">
        <v>40</v>
      </c>
      <c r="H362" s="0" t="n">
        <v>0</v>
      </c>
      <c r="I362" s="3" t="s">
        <v>322</v>
      </c>
      <c r="J362" s="0" t="n">
        <v>5</v>
      </c>
      <c r="K362" s="3" t="s">
        <v>21</v>
      </c>
      <c r="L362" s="0" t="str">
        <f aca="false">VLOOKUP(D362,Products!$A$2:$D$13,2,FALSE())</f>
        <v>Stationery</v>
      </c>
      <c r="M362" s="3" t="n">
        <f aca="false">F362*G362*(1-H362/100)</f>
        <v>40</v>
      </c>
      <c r="N362" s="0" t="str">
        <f aca="false">VLOOKUP(I362,Customers!$A$2:$D$121,3,FALSE())</f>
        <v>Kolkata</v>
      </c>
      <c r="O362" s="0" t="str">
        <f aca="false">VLOOKUP(I362,Customers!$A$2:$D$121,4,FALSE())</f>
        <v>Retail</v>
      </c>
      <c r="P362" s="0" t="str">
        <f aca="false">TEXT(B362,"yyyy-mm")</f>
        <v>2025-05</v>
      </c>
    </row>
    <row r="363" customFormat="false" ht="15" hidden="false" customHeight="false" outlineLevel="0" collapsed="false">
      <c r="A363" s="0" t="s">
        <v>523</v>
      </c>
      <c r="B363" s="2" t="n">
        <v>45926</v>
      </c>
      <c r="C363" s="3" t="s">
        <v>36</v>
      </c>
      <c r="D363" s="3" t="s">
        <v>48</v>
      </c>
      <c r="E363" s="3" t="s">
        <v>38</v>
      </c>
      <c r="F363" s="0" t="n">
        <v>6</v>
      </c>
      <c r="G363" s="0" t="n">
        <v>199</v>
      </c>
      <c r="H363" s="0" t="n">
        <v>0</v>
      </c>
      <c r="I363" s="3" t="s">
        <v>309</v>
      </c>
      <c r="J363" s="0" t="n">
        <v>4</v>
      </c>
      <c r="K363" s="3" t="s">
        <v>43</v>
      </c>
      <c r="L363" s="0" t="str">
        <f aca="false">VLOOKUP(D363,Products!$A$2:$D$13,2,FALSE())</f>
        <v>Home</v>
      </c>
      <c r="M363" s="3" t="n">
        <f aca="false">F363*G363*(1-H363/100)</f>
        <v>1194</v>
      </c>
      <c r="N363" s="0" t="str">
        <f aca="false">VLOOKUP(I363,Customers!$A$2:$D$121,3,FALSE())</f>
        <v>Delhi</v>
      </c>
      <c r="O363" s="0" t="str">
        <f aca="false">VLOOKUP(I363,Customers!$A$2:$D$121,4,FALSE())</f>
        <v>Student</v>
      </c>
      <c r="P363" s="0" t="str">
        <f aca="false">TEXT(B363,"yyyy-mm")</f>
        <v>2025-09</v>
      </c>
    </row>
    <row r="364" customFormat="false" ht="15" hidden="false" customHeight="false" outlineLevel="0" collapsed="false">
      <c r="A364" s="0" t="s">
        <v>524</v>
      </c>
      <c r="B364" s="2" t="n">
        <v>45797</v>
      </c>
      <c r="C364" s="3" t="s">
        <v>51</v>
      </c>
      <c r="D364" s="3" t="s">
        <v>41</v>
      </c>
      <c r="E364" s="3" t="s">
        <v>83</v>
      </c>
      <c r="F364" s="0" t="n">
        <v>4</v>
      </c>
      <c r="G364" s="0" t="n">
        <v>399</v>
      </c>
      <c r="H364" s="0" t="n">
        <v>5</v>
      </c>
      <c r="I364" s="3" t="s">
        <v>284</v>
      </c>
      <c r="J364" s="0" t="n">
        <v>4</v>
      </c>
      <c r="K364" s="3" t="s">
        <v>21</v>
      </c>
      <c r="L364" s="0" t="str">
        <f aca="false">VLOOKUP(D364,Products!$A$2:$D$13,2,FALSE())</f>
        <v>Electronics</v>
      </c>
      <c r="M364" s="3" t="n">
        <f aca="false">F364*G364*(1-H364/100)</f>
        <v>1516.2</v>
      </c>
      <c r="N364" s="0" t="str">
        <f aca="false">VLOOKUP(I364,Customers!$A$2:$D$121,3,FALSE())</f>
        <v>Jaipur</v>
      </c>
      <c r="O364" s="0" t="str">
        <f aca="false">VLOOKUP(I364,Customers!$A$2:$D$121,4,FALSE())</f>
        <v>Retail</v>
      </c>
      <c r="P364" s="0" t="str">
        <f aca="false">TEXT(B364,"yyyy-mm")</f>
        <v>2025-05</v>
      </c>
    </row>
    <row r="365" customFormat="false" ht="15" hidden="false" customHeight="false" outlineLevel="0" collapsed="false">
      <c r="A365" s="0" t="s">
        <v>525</v>
      </c>
      <c r="B365" s="2" t="n">
        <v>46111</v>
      </c>
      <c r="C365" s="3" t="s">
        <v>17</v>
      </c>
      <c r="D365" s="3" t="s">
        <v>37</v>
      </c>
      <c r="E365" s="3" t="s">
        <v>19</v>
      </c>
      <c r="F365" s="0" t="n">
        <v>1</v>
      </c>
      <c r="G365" s="0" t="n">
        <v>500</v>
      </c>
      <c r="H365" s="0" t="n">
        <v>0</v>
      </c>
      <c r="I365" s="3" t="s">
        <v>172</v>
      </c>
      <c r="J365" s="0" t="n">
        <v>5</v>
      </c>
      <c r="K365" s="3" t="s">
        <v>26</v>
      </c>
      <c r="L365" s="0" t="str">
        <f aca="false">VLOOKUP(D365,Products!$A$2:$D$13,2,FALSE())</f>
        <v>Electronics</v>
      </c>
      <c r="M365" s="3" t="n">
        <f aca="false">F365*G365*(1-H365/100)</f>
        <v>500</v>
      </c>
      <c r="N365" s="0" t="str">
        <f aca="false">VLOOKUP(I365,Customers!$A$2:$D$121,3,FALSE())</f>
        <v>Delhi</v>
      </c>
      <c r="O365" s="0" t="str">
        <f aca="false">VLOOKUP(I365,Customers!$A$2:$D$121,4,FALSE())</f>
        <v>Retail</v>
      </c>
      <c r="P365" s="0" t="str">
        <f aca="false">TEXT(B365,"yyyy-mm")</f>
        <v>2026-03</v>
      </c>
    </row>
    <row r="366" customFormat="false" ht="15" hidden="false" customHeight="false" outlineLevel="0" collapsed="false">
      <c r="A366" s="0" t="s">
        <v>526</v>
      </c>
      <c r="B366" s="2" t="n">
        <v>46012</v>
      </c>
      <c r="C366" s="3" t="s">
        <v>36</v>
      </c>
      <c r="D366" s="3" t="s">
        <v>48</v>
      </c>
      <c r="E366" s="3" t="s">
        <v>69</v>
      </c>
      <c r="F366" s="0" t="n">
        <v>1</v>
      </c>
      <c r="G366" s="0" t="n">
        <v>199</v>
      </c>
      <c r="H366" s="0" t="n">
        <v>0</v>
      </c>
      <c r="I366" s="3" t="s">
        <v>205</v>
      </c>
      <c r="J366" s="0" t="n">
        <v>3</v>
      </c>
      <c r="K366" s="3" t="s">
        <v>43</v>
      </c>
      <c r="L366" s="0" t="str">
        <f aca="false">VLOOKUP(D366,Products!$A$2:$D$13,2,FALSE())</f>
        <v>Home</v>
      </c>
      <c r="M366" s="3" t="n">
        <f aca="false">F366*G366*(1-H366/100)</f>
        <v>199</v>
      </c>
      <c r="N366" s="0" t="str">
        <f aca="false">VLOOKUP(I366,Customers!$A$2:$D$121,3,FALSE())</f>
        <v>Jaipur</v>
      </c>
      <c r="O366" s="0" t="str">
        <f aca="false">VLOOKUP(I366,Customers!$A$2:$D$121,4,FALSE())</f>
        <v>Student</v>
      </c>
      <c r="P366" s="0" t="str">
        <f aca="false">TEXT(B366,"yyyy-mm")</f>
        <v>2025-12</v>
      </c>
    </row>
    <row r="367" customFormat="false" ht="15" hidden="false" customHeight="false" outlineLevel="0" collapsed="false">
      <c r="A367" s="0" t="s">
        <v>527</v>
      </c>
      <c r="B367" s="2" t="n">
        <v>46070</v>
      </c>
      <c r="C367" s="3" t="s">
        <v>51</v>
      </c>
      <c r="D367" s="3" t="s">
        <v>28</v>
      </c>
      <c r="E367" s="3" t="s">
        <v>83</v>
      </c>
      <c r="F367" s="0" t="n">
        <v>1</v>
      </c>
      <c r="G367" s="0" t="n">
        <v>450</v>
      </c>
      <c r="H367" s="0" t="n">
        <v>0</v>
      </c>
      <c r="I367" s="3" t="s">
        <v>178</v>
      </c>
      <c r="J367" s="0" t="n">
        <v>4</v>
      </c>
      <c r="K367" s="3" t="s">
        <v>43</v>
      </c>
      <c r="L367" s="0" t="str">
        <f aca="false">VLOOKUP(D367,Products!$A$2:$D$13,2,FALSE())</f>
        <v>Electronics</v>
      </c>
      <c r="M367" s="3" t="n">
        <f aca="false">F367*G367*(1-H367/100)</f>
        <v>450</v>
      </c>
      <c r="N367" s="0" t="str">
        <f aca="false">VLOOKUP(I367,Customers!$A$2:$D$121,3,FALSE())</f>
        <v>Nagpur</v>
      </c>
      <c r="O367" s="0" t="str">
        <f aca="false">VLOOKUP(I367,Customers!$A$2:$D$121,4,FALSE())</f>
        <v>Student</v>
      </c>
      <c r="P367" s="0" t="str">
        <f aca="false">TEXT(B367,"yyyy-mm")</f>
        <v>2026-02</v>
      </c>
    </row>
    <row r="368" customFormat="false" ht="15" hidden="false" customHeight="false" outlineLevel="0" collapsed="false">
      <c r="A368" s="0" t="s">
        <v>528</v>
      </c>
      <c r="B368" s="2" t="n">
        <v>45849</v>
      </c>
      <c r="C368" s="3" t="s">
        <v>23</v>
      </c>
      <c r="D368" s="3" t="s">
        <v>60</v>
      </c>
      <c r="E368" s="3" t="s">
        <v>24</v>
      </c>
      <c r="F368" s="0" t="n">
        <v>1</v>
      </c>
      <c r="G368" s="0" t="n">
        <v>40</v>
      </c>
      <c r="H368" s="0" t="n">
        <v>5</v>
      </c>
      <c r="I368" s="3" t="s">
        <v>335</v>
      </c>
      <c r="J368" s="0" t="n">
        <v>4</v>
      </c>
      <c r="K368" s="3" t="s">
        <v>26</v>
      </c>
      <c r="L368" s="0" t="str">
        <f aca="false">VLOOKUP(D368,Products!$A$2:$D$13,2,FALSE())</f>
        <v>Stationery</v>
      </c>
      <c r="M368" s="3" t="n">
        <f aca="false">F368*G368*(1-H368/100)</f>
        <v>38</v>
      </c>
      <c r="N368" s="0" t="str">
        <f aca="false">VLOOKUP(I368,Customers!$A$2:$D$121,3,FALSE())</f>
        <v>Bhopal</v>
      </c>
      <c r="O368" s="0" t="str">
        <f aca="false">VLOOKUP(I368,Customers!$A$2:$D$121,4,FALSE())</f>
        <v>Retail</v>
      </c>
      <c r="P368" s="0" t="str">
        <f aca="false">TEXT(B368,"yyyy-mm")</f>
        <v>2025-07</v>
      </c>
    </row>
    <row r="369" customFormat="false" ht="15" hidden="false" customHeight="false" outlineLevel="0" collapsed="false">
      <c r="A369" s="0" t="s">
        <v>529</v>
      </c>
      <c r="B369" s="2" t="n">
        <v>46108</v>
      </c>
      <c r="C369" s="3" t="s">
        <v>72</v>
      </c>
      <c r="D369" s="3" t="s">
        <v>28</v>
      </c>
      <c r="E369" s="3" t="s">
        <v>89</v>
      </c>
      <c r="F369" s="0" t="n">
        <v>1</v>
      </c>
      <c r="G369" s="0" t="n">
        <v>450</v>
      </c>
      <c r="H369" s="0" t="n">
        <v>0</v>
      </c>
      <c r="I369" s="3" t="s">
        <v>254</v>
      </c>
      <c r="J369" s="0" t="n">
        <v>2</v>
      </c>
      <c r="K369" s="3" t="s">
        <v>34</v>
      </c>
      <c r="L369" s="0" t="str">
        <f aca="false">VLOOKUP(D369,Products!$A$2:$D$13,2,FALSE())</f>
        <v>Electronics</v>
      </c>
      <c r="M369" s="3" t="n">
        <f aca="false">F369*G369*(1-H369/100)</f>
        <v>450</v>
      </c>
      <c r="N369" s="0" t="str">
        <f aca="false">VLOOKUP(I369,Customers!$A$2:$D$121,3,FALSE())</f>
        <v>Pune</v>
      </c>
      <c r="O369" s="0" t="str">
        <f aca="false">VLOOKUP(I369,Customers!$A$2:$D$121,4,FALSE())</f>
        <v>Student</v>
      </c>
      <c r="P369" s="0" t="str">
        <f aca="false">TEXT(B369,"yyyy-mm")</f>
        <v>2026-03</v>
      </c>
    </row>
    <row r="370" customFormat="false" ht="15" hidden="false" customHeight="false" outlineLevel="0" collapsed="false">
      <c r="A370" s="0" t="s">
        <v>530</v>
      </c>
      <c r="B370" s="2" t="n">
        <v>45982</v>
      </c>
      <c r="C370" s="3" t="s">
        <v>36</v>
      </c>
      <c r="D370" s="3" t="s">
        <v>41</v>
      </c>
      <c r="E370" s="3" t="s">
        <v>69</v>
      </c>
      <c r="F370" s="0" t="n">
        <v>2</v>
      </c>
      <c r="G370" s="0" t="n">
        <v>399</v>
      </c>
      <c r="H370" s="0" t="n">
        <v>0</v>
      </c>
      <c r="I370" s="3" t="s">
        <v>447</v>
      </c>
      <c r="J370" s="0" t="n">
        <v>4</v>
      </c>
      <c r="K370" s="3" t="s">
        <v>34</v>
      </c>
      <c r="L370" s="0" t="str">
        <f aca="false">VLOOKUP(D370,Products!$A$2:$D$13,2,FALSE())</f>
        <v>Electronics</v>
      </c>
      <c r="M370" s="3" t="n">
        <f aca="false">F370*G370*(1-H370/100)</f>
        <v>798</v>
      </c>
      <c r="N370" s="0" t="str">
        <f aca="false">VLOOKUP(I370,Customers!$A$2:$D$121,3,FALSE())</f>
        <v>Indore</v>
      </c>
      <c r="O370" s="0" t="str">
        <f aca="false">VLOOKUP(I370,Customers!$A$2:$D$121,4,FALSE())</f>
        <v>Student</v>
      </c>
      <c r="P370" s="0" t="str">
        <f aca="false">TEXT(B370,"yyyy-mm")</f>
        <v>2025-11</v>
      </c>
    </row>
    <row r="371" customFormat="false" ht="15" hidden="false" customHeight="false" outlineLevel="0" collapsed="false">
      <c r="A371" s="0" t="s">
        <v>531</v>
      </c>
      <c r="B371" s="2" t="n">
        <v>46060</v>
      </c>
      <c r="C371" s="3" t="s">
        <v>51</v>
      </c>
      <c r="D371" s="3" t="s">
        <v>116</v>
      </c>
      <c r="E371" s="3" t="s">
        <v>83</v>
      </c>
      <c r="F371" s="0" t="n">
        <v>1</v>
      </c>
      <c r="G371" s="0" t="n">
        <v>699</v>
      </c>
      <c r="H371" s="0" t="n">
        <v>5</v>
      </c>
      <c r="I371" s="3" t="s">
        <v>335</v>
      </c>
      <c r="J371" s="0" t="n">
        <v>2</v>
      </c>
      <c r="K371" s="3" t="s">
        <v>43</v>
      </c>
      <c r="L371" s="0" t="str">
        <f aca="false">VLOOKUP(D371,Products!$A$2:$D$13,2,FALSE())</f>
        <v>Home</v>
      </c>
      <c r="M371" s="3" t="n">
        <f aca="false">F371*G371*(1-H371/100)</f>
        <v>664.05</v>
      </c>
      <c r="N371" s="0" t="str">
        <f aca="false">VLOOKUP(I371,Customers!$A$2:$D$121,3,FALSE())</f>
        <v>Bhopal</v>
      </c>
      <c r="O371" s="0" t="str">
        <f aca="false">VLOOKUP(I371,Customers!$A$2:$D$121,4,FALSE())</f>
        <v>Retail</v>
      </c>
      <c r="P371" s="0" t="str">
        <f aca="false">TEXT(B371,"yyyy-mm")</f>
        <v>2026-02</v>
      </c>
    </row>
    <row r="372" customFormat="false" ht="15" hidden="false" customHeight="false" outlineLevel="0" collapsed="false">
      <c r="A372" s="0" t="s">
        <v>532</v>
      </c>
      <c r="B372" s="2" t="n">
        <v>46092</v>
      </c>
      <c r="C372" s="3" t="s">
        <v>36</v>
      </c>
      <c r="D372" s="3" t="s">
        <v>116</v>
      </c>
      <c r="E372" s="3" t="s">
        <v>38</v>
      </c>
      <c r="F372" s="0" t="n">
        <v>1</v>
      </c>
      <c r="G372" s="0" t="n">
        <v>699</v>
      </c>
      <c r="H372" s="0" t="n">
        <v>15</v>
      </c>
      <c r="I372" s="3" t="s">
        <v>379</v>
      </c>
      <c r="J372" s="0" t="n">
        <v>3</v>
      </c>
      <c r="K372" s="3" t="s">
        <v>26</v>
      </c>
      <c r="L372" s="0" t="str">
        <f aca="false">VLOOKUP(D372,Products!$A$2:$D$13,2,FALSE())</f>
        <v>Home</v>
      </c>
      <c r="M372" s="3" t="n">
        <f aca="false">F372*G372*(1-H372/100)</f>
        <v>594.15</v>
      </c>
      <c r="N372" s="0" t="str">
        <f aca="false">VLOOKUP(I372,Customers!$A$2:$D$121,3,FALSE())</f>
        <v>Kolkata</v>
      </c>
      <c r="O372" s="0" t="str">
        <f aca="false">VLOOKUP(I372,Customers!$A$2:$D$121,4,FALSE())</f>
        <v>Student</v>
      </c>
      <c r="P372" s="0" t="str">
        <f aca="false">TEXT(B372,"yyyy-mm")</f>
        <v>2026-03</v>
      </c>
    </row>
    <row r="373" customFormat="false" ht="15" hidden="false" customHeight="false" outlineLevel="0" collapsed="false">
      <c r="A373" s="0" t="s">
        <v>533</v>
      </c>
      <c r="B373" s="2" t="n">
        <v>45870</v>
      </c>
      <c r="C373" s="3" t="s">
        <v>17</v>
      </c>
      <c r="D373" s="3" t="s">
        <v>41</v>
      </c>
      <c r="E373" s="3" t="s">
        <v>19</v>
      </c>
      <c r="F373" s="0" t="n">
        <v>4</v>
      </c>
      <c r="G373" s="0" t="n">
        <v>399</v>
      </c>
      <c r="H373" s="0" t="n">
        <v>0</v>
      </c>
      <c r="I373" s="3" t="s">
        <v>534</v>
      </c>
      <c r="J373" s="0" t="n">
        <v>3</v>
      </c>
      <c r="K373" s="3" t="s">
        <v>43</v>
      </c>
      <c r="L373" s="0" t="str">
        <f aca="false">VLOOKUP(D373,Products!$A$2:$D$13,2,FALSE())</f>
        <v>Electronics</v>
      </c>
      <c r="M373" s="3" t="n">
        <f aca="false">F373*G373*(1-H373/100)</f>
        <v>1596</v>
      </c>
      <c r="N373" s="0" t="str">
        <f aca="false">VLOOKUP(I373,Customers!$A$2:$D$121,3,FALSE())</f>
        <v>Chennai</v>
      </c>
      <c r="O373" s="0" t="str">
        <f aca="false">VLOOKUP(I373,Customers!$A$2:$D$121,4,FALSE())</f>
        <v>Student</v>
      </c>
      <c r="P373" s="0" t="str">
        <f aca="false">TEXT(B373,"yyyy-mm")</f>
        <v>2025-08</v>
      </c>
    </row>
    <row r="374" customFormat="false" ht="15" hidden="false" customHeight="false" outlineLevel="0" collapsed="false">
      <c r="A374" s="0" t="s">
        <v>535</v>
      </c>
      <c r="B374" s="2" t="n">
        <v>45818</v>
      </c>
      <c r="C374" s="3" t="s">
        <v>23</v>
      </c>
      <c r="D374" s="3" t="s">
        <v>88</v>
      </c>
      <c r="E374" s="3" t="s">
        <v>29</v>
      </c>
      <c r="F374" s="0" t="n">
        <v>1</v>
      </c>
      <c r="G374" s="0" t="n">
        <v>799</v>
      </c>
      <c r="H374" s="0" t="n">
        <v>10</v>
      </c>
      <c r="I374" s="3" t="s">
        <v>536</v>
      </c>
      <c r="J374" s="0" t="n">
        <v>4</v>
      </c>
      <c r="K374" s="3" t="s">
        <v>26</v>
      </c>
      <c r="L374" s="0" t="str">
        <f aca="false">VLOOKUP(D374,Products!$A$2:$D$13,2,FALSE())</f>
        <v>Accessories</v>
      </c>
      <c r="M374" s="3" t="n">
        <f aca="false">F374*G374*(1-H374/100)</f>
        <v>719.1</v>
      </c>
      <c r="N374" s="0" t="str">
        <f aca="false">VLOOKUP(I374,Customers!$A$2:$D$121,3,FALSE())</f>
        <v>Chennai</v>
      </c>
      <c r="O374" s="0" t="str">
        <f aca="false">VLOOKUP(I374,Customers!$A$2:$D$121,4,FALSE())</f>
        <v>Student</v>
      </c>
      <c r="P374" s="0" t="str">
        <f aca="false">TEXT(B374,"yyyy-mm")</f>
        <v>2025-06</v>
      </c>
    </row>
    <row r="375" customFormat="false" ht="15" hidden="false" customHeight="false" outlineLevel="0" collapsed="false">
      <c r="A375" s="0" t="s">
        <v>537</v>
      </c>
      <c r="B375" s="2" t="n">
        <v>45998</v>
      </c>
      <c r="C375" s="3" t="s">
        <v>36</v>
      </c>
      <c r="D375" s="3" t="s">
        <v>57</v>
      </c>
      <c r="E375" s="3" t="s">
        <v>69</v>
      </c>
      <c r="F375" s="0" t="n">
        <v>3</v>
      </c>
      <c r="G375" s="0" t="n">
        <v>549</v>
      </c>
      <c r="H375" s="0" t="n">
        <v>0</v>
      </c>
      <c r="I375" s="3" t="s">
        <v>291</v>
      </c>
      <c r="J375" s="0" t="n">
        <v>3</v>
      </c>
      <c r="K375" s="3" t="s">
        <v>21</v>
      </c>
      <c r="L375" s="0" t="str">
        <f aca="false">VLOOKUP(D375,Products!$A$2:$D$13,2,FALSE())</f>
        <v>Accessories</v>
      </c>
      <c r="M375" s="3" t="n">
        <f aca="false">F375*G375*(1-H375/100)</f>
        <v>1647</v>
      </c>
      <c r="N375" s="0" t="str">
        <f aca="false">VLOOKUP(I375,Customers!$A$2:$D$121,3,FALSE())</f>
        <v>Pune</v>
      </c>
      <c r="O375" s="0" t="str">
        <f aca="false">VLOOKUP(I375,Customers!$A$2:$D$121,4,FALSE())</f>
        <v>Retail</v>
      </c>
      <c r="P375" s="0" t="str">
        <f aca="false">TEXT(B375,"yyyy-mm")</f>
        <v>2025-12</v>
      </c>
    </row>
    <row r="376" customFormat="false" ht="15" hidden="false" customHeight="false" outlineLevel="0" collapsed="false">
      <c r="A376" s="0" t="s">
        <v>538</v>
      </c>
      <c r="B376" s="2" t="n">
        <v>45996</v>
      </c>
      <c r="C376" s="3" t="s">
        <v>17</v>
      </c>
      <c r="D376" s="3" t="s">
        <v>41</v>
      </c>
      <c r="E376" s="3" t="s">
        <v>93</v>
      </c>
      <c r="F376" s="0" t="n">
        <v>1</v>
      </c>
      <c r="G376" s="0" t="n">
        <v>399</v>
      </c>
      <c r="H376" s="0" t="n">
        <v>0</v>
      </c>
      <c r="I376" s="3" t="s">
        <v>102</v>
      </c>
      <c r="J376" s="0" t="n">
        <v>5</v>
      </c>
      <c r="K376" s="3" t="s">
        <v>43</v>
      </c>
      <c r="L376" s="0" t="str">
        <f aca="false">VLOOKUP(D376,Products!$A$2:$D$13,2,FALSE())</f>
        <v>Electronics</v>
      </c>
      <c r="M376" s="3" t="n">
        <f aca="false">F376*G376*(1-H376/100)</f>
        <v>399</v>
      </c>
      <c r="N376" s="0" t="str">
        <f aca="false">VLOOKUP(I376,Customers!$A$2:$D$121,3,FALSE())</f>
        <v>Jaipur</v>
      </c>
      <c r="O376" s="0" t="str">
        <f aca="false">VLOOKUP(I376,Customers!$A$2:$D$121,4,FALSE())</f>
        <v>Corporate</v>
      </c>
      <c r="P376" s="0" t="str">
        <f aca="false">TEXT(B376,"yyyy-mm")</f>
        <v>2025-12</v>
      </c>
    </row>
    <row r="377" customFormat="false" ht="15" hidden="false" customHeight="false" outlineLevel="0" collapsed="false">
      <c r="A377" s="0" t="s">
        <v>539</v>
      </c>
      <c r="B377" s="2" t="n">
        <v>45960</v>
      </c>
      <c r="C377" s="3" t="s">
        <v>51</v>
      </c>
      <c r="D377" s="3" t="s">
        <v>18</v>
      </c>
      <c r="E377" s="3" t="s">
        <v>52</v>
      </c>
      <c r="F377" s="0" t="n">
        <v>1</v>
      </c>
      <c r="G377" s="0" t="n">
        <v>349</v>
      </c>
      <c r="H377" s="0" t="n">
        <v>15</v>
      </c>
      <c r="I377" s="3" t="s">
        <v>77</v>
      </c>
      <c r="J377" s="0" t="n">
        <v>4</v>
      </c>
      <c r="K377" s="3" t="s">
        <v>21</v>
      </c>
      <c r="L377" s="0" t="str">
        <f aca="false">VLOOKUP(D377,Products!$A$2:$D$13,2,FALSE())</f>
        <v>Home</v>
      </c>
      <c r="M377" s="3" t="n">
        <f aca="false">F377*G377*(1-H377/100)</f>
        <v>296.65</v>
      </c>
      <c r="N377" s="0" t="str">
        <f aca="false">VLOOKUP(I377,Customers!$A$2:$D$121,3,FALSE())</f>
        <v>Chennai</v>
      </c>
      <c r="O377" s="0" t="str">
        <f aca="false">VLOOKUP(I377,Customers!$A$2:$D$121,4,FALSE())</f>
        <v>Student</v>
      </c>
      <c r="P377" s="0" t="str">
        <f aca="false">TEXT(B377,"yyyy-mm")</f>
        <v>2025-10</v>
      </c>
    </row>
    <row r="378" customFormat="false" ht="15" hidden="false" customHeight="false" outlineLevel="0" collapsed="false">
      <c r="A378" s="0" t="s">
        <v>540</v>
      </c>
      <c r="B378" s="2" t="n">
        <v>45860</v>
      </c>
      <c r="C378" s="3" t="s">
        <v>17</v>
      </c>
      <c r="D378" s="3" t="s">
        <v>116</v>
      </c>
      <c r="E378" s="3" t="s">
        <v>93</v>
      </c>
      <c r="F378" s="0" t="n">
        <v>2</v>
      </c>
      <c r="G378" s="0" t="n">
        <v>699</v>
      </c>
      <c r="H378" s="0" t="n">
        <v>0</v>
      </c>
      <c r="I378" s="3" t="s">
        <v>145</v>
      </c>
      <c r="J378" s="0" t="n">
        <v>3</v>
      </c>
      <c r="K378" s="3" t="s">
        <v>26</v>
      </c>
      <c r="L378" s="0" t="str">
        <f aca="false">VLOOKUP(D378,Products!$A$2:$D$13,2,FALSE())</f>
        <v>Home</v>
      </c>
      <c r="M378" s="3" t="n">
        <f aca="false">F378*G378*(1-H378/100)</f>
        <v>1398</v>
      </c>
      <c r="N378" s="0" t="str">
        <f aca="false">VLOOKUP(I378,Customers!$A$2:$D$121,3,FALSE())</f>
        <v>Bhopal</v>
      </c>
      <c r="O378" s="0" t="str">
        <f aca="false">VLOOKUP(I378,Customers!$A$2:$D$121,4,FALSE())</f>
        <v>Student</v>
      </c>
      <c r="P378" s="0" t="str">
        <f aca="false">TEXT(B378,"yyyy-mm")</f>
        <v>2025-07</v>
      </c>
    </row>
    <row r="379" customFormat="false" ht="15" hidden="false" customHeight="false" outlineLevel="0" collapsed="false">
      <c r="A379" s="0" t="s">
        <v>541</v>
      </c>
      <c r="B379" s="2" t="n">
        <v>46001</v>
      </c>
      <c r="C379" s="3" t="s">
        <v>23</v>
      </c>
      <c r="D379" s="3" t="s">
        <v>32</v>
      </c>
      <c r="E379" s="3" t="s">
        <v>24</v>
      </c>
      <c r="F379" s="0" t="n">
        <v>2</v>
      </c>
      <c r="G379" s="0" t="n">
        <v>249</v>
      </c>
      <c r="H379" s="0" t="n">
        <v>10</v>
      </c>
      <c r="I379" s="3" t="s">
        <v>114</v>
      </c>
      <c r="J379" s="0" t="n">
        <v>2</v>
      </c>
      <c r="K379" s="3" t="s">
        <v>34</v>
      </c>
      <c r="L379" s="0" t="str">
        <f aca="false">VLOOKUP(D379,Products!$A$2:$D$13,2,FALSE())</f>
        <v>Accessories</v>
      </c>
      <c r="M379" s="3" t="n">
        <f aca="false">F379*G379*(1-H379/100)</f>
        <v>448.2</v>
      </c>
      <c r="N379" s="0" t="str">
        <f aca="false">VLOOKUP(I379,Customers!$A$2:$D$121,3,FALSE())</f>
        <v>Lucknow</v>
      </c>
      <c r="O379" s="0" t="str">
        <f aca="false">VLOOKUP(I379,Customers!$A$2:$D$121,4,FALSE())</f>
        <v>Retail</v>
      </c>
      <c r="P379" s="0" t="str">
        <f aca="false">TEXT(B379,"yyyy-mm")</f>
        <v>2025-12</v>
      </c>
    </row>
    <row r="380" customFormat="false" ht="15" hidden="false" customHeight="false" outlineLevel="0" collapsed="false">
      <c r="A380" s="0" t="s">
        <v>542</v>
      </c>
      <c r="B380" s="2" t="n">
        <v>46025</v>
      </c>
      <c r="C380" s="3" t="s">
        <v>72</v>
      </c>
      <c r="D380" s="3" t="s">
        <v>57</v>
      </c>
      <c r="E380" s="3" t="s">
        <v>89</v>
      </c>
      <c r="F380" s="0" t="n">
        <v>4</v>
      </c>
      <c r="G380" s="0" t="n">
        <v>549</v>
      </c>
      <c r="H380" s="0" t="n">
        <v>0</v>
      </c>
      <c r="I380" s="3" t="s">
        <v>33</v>
      </c>
      <c r="J380" s="0" t="n">
        <v>4</v>
      </c>
      <c r="K380" s="3" t="s">
        <v>43</v>
      </c>
      <c r="L380" s="0" t="str">
        <f aca="false">VLOOKUP(D380,Products!$A$2:$D$13,2,FALSE())</f>
        <v>Accessories</v>
      </c>
      <c r="M380" s="3" t="n">
        <f aca="false">F380*G380*(1-H380/100)</f>
        <v>2196</v>
      </c>
      <c r="N380" s="0" t="str">
        <f aca="false">VLOOKUP(I380,Customers!$A$2:$D$121,3,FALSE())</f>
        <v>Indore</v>
      </c>
      <c r="O380" s="0" t="str">
        <f aca="false">VLOOKUP(I380,Customers!$A$2:$D$121,4,FALSE())</f>
        <v>Corporate</v>
      </c>
      <c r="P380" s="0" t="str">
        <f aca="false">TEXT(B380,"yyyy-mm")</f>
        <v>2026-01</v>
      </c>
    </row>
    <row r="381" customFormat="false" ht="15" hidden="false" customHeight="false" outlineLevel="0" collapsed="false">
      <c r="A381" s="0" t="s">
        <v>543</v>
      </c>
      <c r="B381" s="2" t="n">
        <v>45900</v>
      </c>
      <c r="C381" s="3" t="s">
        <v>36</v>
      </c>
      <c r="D381" s="3" t="s">
        <v>45</v>
      </c>
      <c r="E381" s="3" t="s">
        <v>38</v>
      </c>
      <c r="F381" s="0" t="n">
        <v>3</v>
      </c>
      <c r="G381" s="0" t="n">
        <v>30</v>
      </c>
      <c r="H381" s="0" t="n">
        <v>0</v>
      </c>
      <c r="I381" s="3" t="s">
        <v>90</v>
      </c>
      <c r="J381" s="0" t="n">
        <v>3</v>
      </c>
      <c r="K381" s="3" t="s">
        <v>43</v>
      </c>
      <c r="L381" s="0" t="str">
        <f aca="false">VLOOKUP(D381,Products!$A$2:$D$13,2,FALSE())</f>
        <v>Stationery</v>
      </c>
      <c r="M381" s="3" t="n">
        <f aca="false">F381*G381*(1-H381/100)</f>
        <v>90</v>
      </c>
      <c r="N381" s="0" t="str">
        <f aca="false">VLOOKUP(I381,Customers!$A$2:$D$121,3,FALSE())</f>
        <v>Jaipur</v>
      </c>
      <c r="O381" s="0" t="str">
        <f aca="false">VLOOKUP(I381,Customers!$A$2:$D$121,4,FALSE())</f>
        <v>Corporate</v>
      </c>
      <c r="P381" s="0" t="str">
        <f aca="false">TEXT(B381,"yyyy-mm")</f>
        <v>2025-08</v>
      </c>
    </row>
    <row r="382" customFormat="false" ht="15" hidden="false" customHeight="false" outlineLevel="0" collapsed="false">
      <c r="A382" s="0" t="s">
        <v>544</v>
      </c>
      <c r="B382" s="2" t="n">
        <v>45855</v>
      </c>
      <c r="C382" s="3" t="s">
        <v>36</v>
      </c>
      <c r="D382" s="3" t="s">
        <v>45</v>
      </c>
      <c r="E382" s="3" t="s">
        <v>69</v>
      </c>
      <c r="F382" s="0" t="n">
        <v>3</v>
      </c>
      <c r="G382" s="0" t="n">
        <v>30</v>
      </c>
      <c r="H382" s="0" t="n">
        <v>15</v>
      </c>
      <c r="I382" s="3" t="s">
        <v>335</v>
      </c>
      <c r="J382" s="0" t="n">
        <v>4</v>
      </c>
      <c r="K382" s="3" t="s">
        <v>26</v>
      </c>
      <c r="L382" s="0" t="str">
        <f aca="false">VLOOKUP(D382,Products!$A$2:$D$13,2,FALSE())</f>
        <v>Stationery</v>
      </c>
      <c r="M382" s="3" t="n">
        <f aca="false">F382*G382*(1-H382/100)</f>
        <v>76.5</v>
      </c>
      <c r="N382" s="0" t="str">
        <f aca="false">VLOOKUP(I382,Customers!$A$2:$D$121,3,FALSE())</f>
        <v>Bhopal</v>
      </c>
      <c r="O382" s="0" t="str">
        <f aca="false">VLOOKUP(I382,Customers!$A$2:$D$121,4,FALSE())</f>
        <v>Retail</v>
      </c>
      <c r="P382" s="0" t="str">
        <f aca="false">TEXT(B382,"yyyy-mm")</f>
        <v>2025-07</v>
      </c>
    </row>
    <row r="383" customFormat="false" ht="15" hidden="false" customHeight="false" outlineLevel="0" collapsed="false">
      <c r="A383" s="0" t="s">
        <v>545</v>
      </c>
      <c r="B383" s="2" t="n">
        <v>45853</v>
      </c>
      <c r="C383" s="3" t="s">
        <v>36</v>
      </c>
      <c r="D383" s="3" t="s">
        <v>116</v>
      </c>
      <c r="E383" s="3" t="s">
        <v>69</v>
      </c>
      <c r="F383" s="0" t="n">
        <v>1</v>
      </c>
      <c r="G383" s="0" t="n">
        <v>699</v>
      </c>
      <c r="H383" s="0" t="n">
        <v>0</v>
      </c>
      <c r="I383" s="3" t="s">
        <v>189</v>
      </c>
      <c r="J383" s="0" t="n">
        <v>2</v>
      </c>
      <c r="K383" s="3" t="s">
        <v>34</v>
      </c>
      <c r="L383" s="0" t="str">
        <f aca="false">VLOOKUP(D383,Products!$A$2:$D$13,2,FALSE())</f>
        <v>Home</v>
      </c>
      <c r="M383" s="3" t="n">
        <f aca="false">F383*G383*(1-H383/100)</f>
        <v>699</v>
      </c>
      <c r="N383" s="0" t="str">
        <f aca="false">VLOOKUP(I383,Customers!$A$2:$D$121,3,FALSE())</f>
        <v>Bhopal</v>
      </c>
      <c r="O383" s="0" t="str">
        <f aca="false">VLOOKUP(I383,Customers!$A$2:$D$121,4,FALSE())</f>
        <v>Retail</v>
      </c>
      <c r="P383" s="0" t="str">
        <f aca="false">TEXT(B383,"yyyy-mm")</f>
        <v>2025-07</v>
      </c>
    </row>
    <row r="384" customFormat="false" ht="15" hidden="false" customHeight="false" outlineLevel="0" collapsed="false">
      <c r="A384" s="0" t="s">
        <v>546</v>
      </c>
      <c r="B384" s="2" t="n">
        <v>45834</v>
      </c>
      <c r="C384" s="3" t="s">
        <v>23</v>
      </c>
      <c r="D384" s="3" t="s">
        <v>116</v>
      </c>
      <c r="E384" s="3" t="s">
        <v>29</v>
      </c>
      <c r="F384" s="0" t="n">
        <v>1</v>
      </c>
      <c r="G384" s="0" t="n">
        <v>699</v>
      </c>
      <c r="H384" s="0" t="n">
        <v>0</v>
      </c>
      <c r="I384" s="3" t="s">
        <v>346</v>
      </c>
      <c r="J384" s="0" t="n">
        <v>3</v>
      </c>
      <c r="K384" s="3" t="s">
        <v>21</v>
      </c>
      <c r="L384" s="0" t="str">
        <f aca="false">VLOOKUP(D384,Products!$A$2:$D$13,2,FALSE())</f>
        <v>Home</v>
      </c>
      <c r="M384" s="3" t="n">
        <f aca="false">F384*G384*(1-H384/100)</f>
        <v>699</v>
      </c>
      <c r="N384" s="0" t="str">
        <f aca="false">VLOOKUP(I384,Customers!$A$2:$D$121,3,FALSE())</f>
        <v>Delhi</v>
      </c>
      <c r="O384" s="0" t="str">
        <f aca="false">VLOOKUP(I384,Customers!$A$2:$D$121,4,FALSE())</f>
        <v>Student</v>
      </c>
      <c r="P384" s="0" t="str">
        <f aca="false">TEXT(B384,"yyyy-mm")</f>
        <v>2025-06</v>
      </c>
    </row>
    <row r="385" customFormat="false" ht="15" hidden="false" customHeight="false" outlineLevel="0" collapsed="false">
      <c r="A385" s="0" t="s">
        <v>547</v>
      </c>
      <c r="B385" s="2" t="n">
        <v>45778</v>
      </c>
      <c r="C385" s="3" t="s">
        <v>51</v>
      </c>
      <c r="D385" s="3" t="s">
        <v>108</v>
      </c>
      <c r="E385" s="3" t="s">
        <v>52</v>
      </c>
      <c r="F385" s="0" t="n">
        <v>3</v>
      </c>
      <c r="G385" s="0" t="n">
        <v>180</v>
      </c>
      <c r="H385" s="0" t="n">
        <v>0</v>
      </c>
      <c r="I385" s="3" t="s">
        <v>548</v>
      </c>
      <c r="J385" s="0" t="n">
        <v>4</v>
      </c>
      <c r="K385" s="3" t="s">
        <v>26</v>
      </c>
      <c r="L385" s="0" t="str">
        <f aca="false">VLOOKUP(D385,Products!$A$2:$D$13,2,FALSE())</f>
        <v>Stationery</v>
      </c>
      <c r="M385" s="3" t="n">
        <f aca="false">F385*G385*(1-H385/100)</f>
        <v>540</v>
      </c>
      <c r="N385" s="0" t="str">
        <f aca="false">VLOOKUP(I385,Customers!$A$2:$D$121,3,FALSE())</f>
        <v>Delhi</v>
      </c>
      <c r="O385" s="0" t="str">
        <f aca="false">VLOOKUP(I385,Customers!$A$2:$D$121,4,FALSE())</f>
        <v>Corporate</v>
      </c>
      <c r="P385" s="0" t="str">
        <f aca="false">TEXT(B385,"yyyy-mm")</f>
        <v>2025-05</v>
      </c>
    </row>
    <row r="386" customFormat="false" ht="15" hidden="false" customHeight="false" outlineLevel="0" collapsed="false">
      <c r="A386" s="0" t="s">
        <v>549</v>
      </c>
      <c r="B386" s="2" t="n">
        <v>45874</v>
      </c>
      <c r="C386" s="3" t="s">
        <v>72</v>
      </c>
      <c r="D386" s="3" t="s">
        <v>108</v>
      </c>
      <c r="E386" s="3" t="s">
        <v>73</v>
      </c>
      <c r="F386" s="0" t="n">
        <v>3</v>
      </c>
      <c r="G386" s="0" t="n">
        <v>180</v>
      </c>
      <c r="H386" s="0" t="n">
        <v>15</v>
      </c>
      <c r="I386" s="3" t="s">
        <v>120</v>
      </c>
      <c r="J386" s="0" t="n">
        <v>4</v>
      </c>
      <c r="K386" s="3" t="s">
        <v>43</v>
      </c>
      <c r="L386" s="0" t="str">
        <f aca="false">VLOOKUP(D386,Products!$A$2:$D$13,2,FALSE())</f>
        <v>Stationery</v>
      </c>
      <c r="M386" s="3" t="n">
        <f aca="false">F386*G386*(1-H386/100)</f>
        <v>459</v>
      </c>
      <c r="N386" s="0" t="str">
        <f aca="false">VLOOKUP(I386,Customers!$A$2:$D$121,3,FALSE())</f>
        <v>Bhopal</v>
      </c>
      <c r="O386" s="0" t="str">
        <f aca="false">VLOOKUP(I386,Customers!$A$2:$D$121,4,FALSE())</f>
        <v>Retail</v>
      </c>
      <c r="P386" s="0" t="str">
        <f aca="false">TEXT(B386,"yyyy-mm")</f>
        <v>2025-08</v>
      </c>
    </row>
    <row r="387" customFormat="false" ht="15" hidden="false" customHeight="false" outlineLevel="0" collapsed="false">
      <c r="A387" s="0" t="s">
        <v>550</v>
      </c>
      <c r="B387" s="2" t="n">
        <v>45786</v>
      </c>
      <c r="C387" s="3" t="s">
        <v>51</v>
      </c>
      <c r="D387" s="3" t="s">
        <v>88</v>
      </c>
      <c r="E387" s="3" t="s">
        <v>52</v>
      </c>
      <c r="F387" s="0" t="n">
        <v>8</v>
      </c>
      <c r="G387" s="0" t="n">
        <v>799</v>
      </c>
      <c r="H387" s="0" t="n">
        <v>15</v>
      </c>
      <c r="I387" s="3" t="s">
        <v>551</v>
      </c>
      <c r="J387" s="0" t="n">
        <v>5</v>
      </c>
      <c r="K387" s="3" t="s">
        <v>43</v>
      </c>
      <c r="L387" s="0" t="str">
        <f aca="false">VLOOKUP(D387,Products!$A$2:$D$13,2,FALSE())</f>
        <v>Accessories</v>
      </c>
      <c r="M387" s="3" t="n">
        <f aca="false">F387*G387*(1-H387/100)</f>
        <v>5433.2</v>
      </c>
      <c r="N387" s="0" t="str">
        <f aca="false">VLOOKUP(I387,Customers!$A$2:$D$121,3,FALSE())</f>
        <v>Lucknow</v>
      </c>
      <c r="O387" s="0" t="str">
        <f aca="false">VLOOKUP(I387,Customers!$A$2:$D$121,4,FALSE())</f>
        <v>Student</v>
      </c>
      <c r="P387" s="0" t="str">
        <f aca="false">TEXT(B387,"yyyy-mm")</f>
        <v>2025-05</v>
      </c>
    </row>
    <row r="388" customFormat="false" ht="15" hidden="false" customHeight="false" outlineLevel="0" collapsed="false">
      <c r="A388" s="0" t="s">
        <v>552</v>
      </c>
      <c r="B388" s="2" t="n">
        <v>46103</v>
      </c>
      <c r="C388" s="3" t="s">
        <v>72</v>
      </c>
      <c r="D388" s="3" t="s">
        <v>57</v>
      </c>
      <c r="E388" s="3" t="s">
        <v>73</v>
      </c>
      <c r="F388" s="0" t="n">
        <v>1</v>
      </c>
      <c r="G388" s="0" t="n">
        <v>549</v>
      </c>
      <c r="H388" s="0" t="n">
        <v>0</v>
      </c>
      <c r="I388" s="3" t="s">
        <v>63</v>
      </c>
      <c r="J388" s="0" t="n">
        <v>5</v>
      </c>
      <c r="K388" s="3" t="s">
        <v>21</v>
      </c>
      <c r="L388" s="0" t="str">
        <f aca="false">VLOOKUP(D388,Products!$A$2:$D$13,2,FALSE())</f>
        <v>Accessories</v>
      </c>
      <c r="M388" s="3" t="n">
        <f aca="false">F388*G388*(1-H388/100)</f>
        <v>549</v>
      </c>
      <c r="N388" s="0" t="str">
        <f aca="false">VLOOKUP(I388,Customers!$A$2:$D$121,3,FALSE())</f>
        <v>Indore</v>
      </c>
      <c r="O388" s="0" t="str">
        <f aca="false">VLOOKUP(I388,Customers!$A$2:$D$121,4,FALSE())</f>
        <v>Student</v>
      </c>
      <c r="P388" s="0" t="str">
        <f aca="false">TEXT(B388,"yyyy-mm")</f>
        <v>2026-03</v>
      </c>
    </row>
    <row r="389" customFormat="false" ht="15" hidden="false" customHeight="false" outlineLevel="0" collapsed="false">
      <c r="A389" s="0" t="s">
        <v>553</v>
      </c>
      <c r="B389" s="2" t="n">
        <v>45982</v>
      </c>
      <c r="C389" s="3" t="s">
        <v>17</v>
      </c>
      <c r="D389" s="3" t="s">
        <v>48</v>
      </c>
      <c r="E389" s="3" t="s">
        <v>19</v>
      </c>
      <c r="F389" s="0" t="n">
        <v>1</v>
      </c>
      <c r="G389" s="0" t="n">
        <v>199</v>
      </c>
      <c r="H389" s="0" t="n">
        <v>15</v>
      </c>
      <c r="I389" s="3" t="s">
        <v>269</v>
      </c>
      <c r="J389" s="0" t="n">
        <v>4</v>
      </c>
      <c r="K389" s="3" t="s">
        <v>43</v>
      </c>
      <c r="L389" s="0" t="str">
        <f aca="false">VLOOKUP(D389,Products!$A$2:$D$13,2,FALSE())</f>
        <v>Home</v>
      </c>
      <c r="M389" s="3" t="n">
        <f aca="false">F389*G389*(1-H389/100)</f>
        <v>169.15</v>
      </c>
      <c r="N389" s="0" t="str">
        <f aca="false">VLOOKUP(I389,Customers!$A$2:$D$121,3,FALSE())</f>
        <v>Mumbai</v>
      </c>
      <c r="O389" s="0" t="str">
        <f aca="false">VLOOKUP(I389,Customers!$A$2:$D$121,4,FALSE())</f>
        <v>Student</v>
      </c>
      <c r="P389" s="0" t="str">
        <f aca="false">TEXT(B389,"yyyy-mm")</f>
        <v>2025-11</v>
      </c>
    </row>
    <row r="390" customFormat="false" ht="15" hidden="false" customHeight="false" outlineLevel="0" collapsed="false">
      <c r="A390" s="0" t="s">
        <v>554</v>
      </c>
      <c r="B390" s="2" t="n">
        <v>45856</v>
      </c>
      <c r="C390" s="3" t="s">
        <v>51</v>
      </c>
      <c r="D390" s="3" t="s">
        <v>28</v>
      </c>
      <c r="E390" s="3" t="s">
        <v>83</v>
      </c>
      <c r="F390" s="0" t="n">
        <v>3</v>
      </c>
      <c r="G390" s="0" t="n">
        <v>450</v>
      </c>
      <c r="H390" s="0" t="n">
        <v>5</v>
      </c>
      <c r="I390" s="3" t="s">
        <v>195</v>
      </c>
      <c r="J390" s="0" t="n">
        <v>3</v>
      </c>
      <c r="K390" s="3" t="s">
        <v>34</v>
      </c>
      <c r="L390" s="0" t="str">
        <f aca="false">VLOOKUP(D390,Products!$A$2:$D$13,2,FALSE())</f>
        <v>Electronics</v>
      </c>
      <c r="M390" s="3" t="n">
        <f aca="false">F390*G390*(1-H390/100)</f>
        <v>1282.5</v>
      </c>
      <c r="N390" s="0" t="str">
        <f aca="false">VLOOKUP(I390,Customers!$A$2:$D$121,3,FALSE())</f>
        <v>Pune</v>
      </c>
      <c r="O390" s="0" t="str">
        <f aca="false">VLOOKUP(I390,Customers!$A$2:$D$121,4,FALSE())</f>
        <v>Student</v>
      </c>
      <c r="P390" s="0" t="str">
        <f aca="false">TEXT(B390,"yyyy-mm")</f>
        <v>2025-07</v>
      </c>
    </row>
    <row r="391" customFormat="false" ht="15" hidden="false" customHeight="false" outlineLevel="0" collapsed="false">
      <c r="A391" s="0" t="s">
        <v>555</v>
      </c>
      <c r="B391" s="2" t="n">
        <v>45814</v>
      </c>
      <c r="C391" s="3" t="s">
        <v>23</v>
      </c>
      <c r="D391" s="3" t="s">
        <v>57</v>
      </c>
      <c r="E391" s="3" t="s">
        <v>29</v>
      </c>
      <c r="F391" s="0" t="n">
        <v>1</v>
      </c>
      <c r="G391" s="0" t="n">
        <v>549</v>
      </c>
      <c r="H391" s="0" t="n">
        <v>10</v>
      </c>
      <c r="I391" s="3" t="s">
        <v>174</v>
      </c>
      <c r="J391" s="0" t="n">
        <v>4</v>
      </c>
      <c r="K391" s="3" t="s">
        <v>21</v>
      </c>
      <c r="L391" s="0" t="str">
        <f aca="false">VLOOKUP(D391,Products!$A$2:$D$13,2,FALSE())</f>
        <v>Accessories</v>
      </c>
      <c r="M391" s="3" t="n">
        <f aca="false">F391*G391*(1-H391/100)</f>
        <v>494.1</v>
      </c>
      <c r="N391" s="0" t="str">
        <f aca="false">VLOOKUP(I391,Customers!$A$2:$D$121,3,FALSE())</f>
        <v>Lucknow</v>
      </c>
      <c r="O391" s="0" t="str">
        <f aca="false">VLOOKUP(I391,Customers!$A$2:$D$121,4,FALSE())</f>
        <v>Student</v>
      </c>
      <c r="P391" s="0" t="str">
        <f aca="false">TEXT(B391,"yyyy-mm")</f>
        <v>2025-06</v>
      </c>
    </row>
    <row r="392" customFormat="false" ht="15" hidden="false" customHeight="false" outlineLevel="0" collapsed="false">
      <c r="A392" s="0" t="s">
        <v>556</v>
      </c>
      <c r="B392" s="2" t="n">
        <v>46068</v>
      </c>
      <c r="C392" s="3" t="s">
        <v>17</v>
      </c>
      <c r="D392" s="3" t="s">
        <v>60</v>
      </c>
      <c r="E392" s="3" t="s">
        <v>19</v>
      </c>
      <c r="F392" s="0" t="n">
        <v>5</v>
      </c>
      <c r="G392" s="0" t="n">
        <v>40</v>
      </c>
      <c r="H392" s="0" t="n">
        <v>5</v>
      </c>
      <c r="I392" s="3" t="s">
        <v>172</v>
      </c>
      <c r="J392" s="0" t="n">
        <v>2</v>
      </c>
      <c r="K392" s="3" t="s">
        <v>43</v>
      </c>
      <c r="L392" s="0" t="str">
        <f aca="false">VLOOKUP(D392,Products!$A$2:$D$13,2,FALSE())</f>
        <v>Stationery</v>
      </c>
      <c r="M392" s="3" t="n">
        <f aca="false">F392*G392*(1-H392/100)</f>
        <v>190</v>
      </c>
      <c r="N392" s="0" t="str">
        <f aca="false">VLOOKUP(I392,Customers!$A$2:$D$121,3,FALSE())</f>
        <v>Delhi</v>
      </c>
      <c r="O392" s="0" t="str">
        <f aca="false">VLOOKUP(I392,Customers!$A$2:$D$121,4,FALSE())</f>
        <v>Retail</v>
      </c>
      <c r="P392" s="0" t="str">
        <f aca="false">TEXT(B392,"yyyy-mm")</f>
        <v>2026-02</v>
      </c>
    </row>
    <row r="393" customFormat="false" ht="15" hidden="false" customHeight="false" outlineLevel="0" collapsed="false">
      <c r="A393" s="0" t="s">
        <v>557</v>
      </c>
      <c r="B393" s="2" t="n">
        <v>45967</v>
      </c>
      <c r="C393" s="3" t="s">
        <v>17</v>
      </c>
      <c r="D393" s="3" t="s">
        <v>32</v>
      </c>
      <c r="E393" s="3" t="s">
        <v>93</v>
      </c>
      <c r="F393" s="0" t="n">
        <v>4</v>
      </c>
      <c r="G393" s="0" t="n">
        <v>249</v>
      </c>
      <c r="H393" s="0" t="n">
        <v>0</v>
      </c>
      <c r="I393" s="3" t="s">
        <v>161</v>
      </c>
      <c r="J393" s="0" t="n">
        <v>5</v>
      </c>
      <c r="K393" s="3" t="s">
        <v>26</v>
      </c>
      <c r="L393" s="0" t="str">
        <f aca="false">VLOOKUP(D393,Products!$A$2:$D$13,2,FALSE())</f>
        <v>Accessories</v>
      </c>
      <c r="M393" s="3" t="n">
        <f aca="false">F393*G393*(1-H393/100)</f>
        <v>996</v>
      </c>
      <c r="N393" s="0" t="str">
        <f aca="false">VLOOKUP(I393,Customers!$A$2:$D$121,3,FALSE())</f>
        <v>Lucknow</v>
      </c>
      <c r="O393" s="0" t="str">
        <f aca="false">VLOOKUP(I393,Customers!$A$2:$D$121,4,FALSE())</f>
        <v>Corporate</v>
      </c>
      <c r="P393" s="0" t="str">
        <f aca="false">TEXT(B393,"yyyy-mm")</f>
        <v>2025-11</v>
      </c>
    </row>
    <row r="394" customFormat="false" ht="15" hidden="false" customHeight="false" outlineLevel="0" collapsed="false">
      <c r="A394" s="0" t="s">
        <v>558</v>
      </c>
      <c r="B394" s="2" t="n">
        <v>46083</v>
      </c>
      <c r="C394" s="3" t="s">
        <v>17</v>
      </c>
      <c r="D394" s="3" t="s">
        <v>37</v>
      </c>
      <c r="E394" s="3" t="s">
        <v>19</v>
      </c>
      <c r="F394" s="0" t="n">
        <v>1</v>
      </c>
      <c r="G394" s="0" t="n">
        <v>500</v>
      </c>
      <c r="H394" s="0" t="n">
        <v>0</v>
      </c>
      <c r="I394" s="3" t="s">
        <v>128</v>
      </c>
      <c r="J394" s="0" t="n">
        <v>2</v>
      </c>
      <c r="K394" s="3" t="s">
        <v>21</v>
      </c>
      <c r="L394" s="0" t="str">
        <f aca="false">VLOOKUP(D394,Products!$A$2:$D$13,2,FALSE())</f>
        <v>Electronics</v>
      </c>
      <c r="M394" s="3" t="n">
        <f aca="false">F394*G394*(1-H394/100)</f>
        <v>500</v>
      </c>
      <c r="N394" s="0" t="str">
        <f aca="false">VLOOKUP(I394,Customers!$A$2:$D$121,3,FALSE())</f>
        <v>Indore</v>
      </c>
      <c r="O394" s="0" t="str">
        <f aca="false">VLOOKUP(I394,Customers!$A$2:$D$121,4,FALSE())</f>
        <v>Corporate</v>
      </c>
      <c r="P394" s="0" t="str">
        <f aca="false">TEXT(B394,"yyyy-mm")</f>
        <v>2026-03</v>
      </c>
    </row>
    <row r="395" customFormat="false" ht="15" hidden="false" customHeight="false" outlineLevel="0" collapsed="false">
      <c r="A395" s="0" t="s">
        <v>559</v>
      </c>
      <c r="B395" s="2" t="n">
        <v>46106</v>
      </c>
      <c r="C395" s="3" t="s">
        <v>72</v>
      </c>
      <c r="D395" s="3" t="s">
        <v>88</v>
      </c>
      <c r="E395" s="3" t="s">
        <v>89</v>
      </c>
      <c r="F395" s="0" t="n">
        <v>3</v>
      </c>
      <c r="G395" s="0" t="n">
        <v>799</v>
      </c>
      <c r="H395" s="0" t="n">
        <v>0</v>
      </c>
      <c r="I395" s="3" t="s">
        <v>25</v>
      </c>
      <c r="J395" s="0" t="n">
        <v>4</v>
      </c>
      <c r="K395" s="3" t="s">
        <v>21</v>
      </c>
      <c r="L395" s="0" t="str">
        <f aca="false">VLOOKUP(D395,Products!$A$2:$D$13,2,FALSE())</f>
        <v>Accessories</v>
      </c>
      <c r="M395" s="3" t="n">
        <f aca="false">F395*G395*(1-H395/100)</f>
        <v>2397</v>
      </c>
      <c r="N395" s="0" t="str">
        <f aca="false">VLOOKUP(I395,Customers!$A$2:$D$121,3,FALSE())</f>
        <v>Indore</v>
      </c>
      <c r="O395" s="0" t="str">
        <f aca="false">VLOOKUP(I395,Customers!$A$2:$D$121,4,FALSE())</f>
        <v>Corporate</v>
      </c>
      <c r="P395" s="0" t="str">
        <f aca="false">TEXT(B395,"yyyy-mm")</f>
        <v>2026-03</v>
      </c>
    </row>
    <row r="396" customFormat="false" ht="15" hidden="false" customHeight="false" outlineLevel="0" collapsed="false">
      <c r="A396" s="0" t="s">
        <v>560</v>
      </c>
      <c r="B396" s="2" t="n">
        <v>45787</v>
      </c>
      <c r="C396" s="3" t="s">
        <v>51</v>
      </c>
      <c r="D396" s="3" t="s">
        <v>28</v>
      </c>
      <c r="E396" s="3" t="s">
        <v>83</v>
      </c>
      <c r="F396" s="0" t="n">
        <v>3</v>
      </c>
      <c r="G396" s="0" t="n">
        <v>450</v>
      </c>
      <c r="H396" s="0" t="n">
        <v>0</v>
      </c>
      <c r="I396" s="3" t="s">
        <v>335</v>
      </c>
      <c r="J396" s="0" t="n">
        <v>3</v>
      </c>
      <c r="K396" s="3" t="s">
        <v>21</v>
      </c>
      <c r="L396" s="0" t="str">
        <f aca="false">VLOOKUP(D396,Products!$A$2:$D$13,2,FALSE())</f>
        <v>Electronics</v>
      </c>
      <c r="M396" s="3" t="n">
        <f aca="false">F396*G396*(1-H396/100)</f>
        <v>1350</v>
      </c>
      <c r="N396" s="0" t="str">
        <f aca="false">VLOOKUP(I396,Customers!$A$2:$D$121,3,FALSE())</f>
        <v>Bhopal</v>
      </c>
      <c r="O396" s="0" t="str">
        <f aca="false">VLOOKUP(I396,Customers!$A$2:$D$121,4,FALSE())</f>
        <v>Retail</v>
      </c>
      <c r="P396" s="0" t="str">
        <f aca="false">TEXT(B396,"yyyy-mm")</f>
        <v>2025-05</v>
      </c>
    </row>
    <row r="397" customFormat="false" ht="15" hidden="false" customHeight="false" outlineLevel="0" collapsed="false">
      <c r="A397" s="0" t="s">
        <v>561</v>
      </c>
      <c r="B397" s="2" t="n">
        <v>45809</v>
      </c>
      <c r="C397" s="3" t="s">
        <v>72</v>
      </c>
      <c r="D397" s="3" t="s">
        <v>60</v>
      </c>
      <c r="E397" s="3" t="s">
        <v>89</v>
      </c>
      <c r="F397" s="0" t="n">
        <v>1</v>
      </c>
      <c r="G397" s="0" t="n">
        <v>40</v>
      </c>
      <c r="H397" s="0" t="n">
        <v>5</v>
      </c>
      <c r="I397" s="3" t="s">
        <v>161</v>
      </c>
      <c r="J397" s="0" t="n">
        <v>3</v>
      </c>
      <c r="K397" s="3" t="s">
        <v>26</v>
      </c>
      <c r="L397" s="0" t="str">
        <f aca="false">VLOOKUP(D397,Products!$A$2:$D$13,2,FALSE())</f>
        <v>Stationery</v>
      </c>
      <c r="M397" s="3" t="n">
        <f aca="false">F397*G397*(1-H397/100)</f>
        <v>38</v>
      </c>
      <c r="N397" s="0" t="str">
        <f aca="false">VLOOKUP(I397,Customers!$A$2:$D$121,3,FALSE())</f>
        <v>Lucknow</v>
      </c>
      <c r="O397" s="0" t="str">
        <f aca="false">VLOOKUP(I397,Customers!$A$2:$D$121,4,FALSE())</f>
        <v>Corporate</v>
      </c>
      <c r="P397" s="0" t="str">
        <f aca="false">TEXT(B397,"yyyy-mm")</f>
        <v>2025-06</v>
      </c>
    </row>
    <row r="398" customFormat="false" ht="15" hidden="false" customHeight="false" outlineLevel="0" collapsed="false">
      <c r="A398" s="0" t="s">
        <v>562</v>
      </c>
      <c r="B398" s="2" t="n">
        <v>45800</v>
      </c>
      <c r="C398" s="3" t="s">
        <v>17</v>
      </c>
      <c r="D398" s="3" t="s">
        <v>88</v>
      </c>
      <c r="E398" s="3" t="s">
        <v>93</v>
      </c>
      <c r="F398" s="0" t="n">
        <v>4</v>
      </c>
      <c r="G398" s="0" t="n">
        <v>799</v>
      </c>
      <c r="H398" s="0" t="n">
        <v>0</v>
      </c>
      <c r="I398" s="3" t="s">
        <v>239</v>
      </c>
      <c r="J398" s="0" t="n">
        <v>4</v>
      </c>
      <c r="K398" s="3" t="s">
        <v>26</v>
      </c>
      <c r="L398" s="0" t="str">
        <f aca="false">VLOOKUP(D398,Products!$A$2:$D$13,2,FALSE())</f>
        <v>Accessories</v>
      </c>
      <c r="M398" s="3" t="n">
        <f aca="false">F398*G398*(1-H398/100)</f>
        <v>3196</v>
      </c>
      <c r="N398" s="0" t="str">
        <f aca="false">VLOOKUP(I398,Customers!$A$2:$D$121,3,FALSE())</f>
        <v>Lucknow</v>
      </c>
      <c r="O398" s="0" t="str">
        <f aca="false">VLOOKUP(I398,Customers!$A$2:$D$121,4,FALSE())</f>
        <v>Retail</v>
      </c>
      <c r="P398" s="0" t="str">
        <f aca="false">TEXT(B398,"yyyy-mm")</f>
        <v>2025-05</v>
      </c>
    </row>
    <row r="399" customFormat="false" ht="15" hidden="false" customHeight="false" outlineLevel="0" collapsed="false">
      <c r="A399" s="0" t="s">
        <v>563</v>
      </c>
      <c r="B399" s="2" t="n">
        <v>46076</v>
      </c>
      <c r="C399" s="3" t="s">
        <v>36</v>
      </c>
      <c r="D399" s="3" t="s">
        <v>88</v>
      </c>
      <c r="E399" s="3" t="s">
        <v>38</v>
      </c>
      <c r="F399" s="0" t="n">
        <v>2</v>
      </c>
      <c r="G399" s="0" t="n">
        <v>799</v>
      </c>
      <c r="H399" s="0" t="n">
        <v>15</v>
      </c>
      <c r="I399" s="3" t="s">
        <v>258</v>
      </c>
      <c r="J399" s="0" t="n">
        <v>2</v>
      </c>
      <c r="K399" s="3" t="s">
        <v>26</v>
      </c>
      <c r="L399" s="0" t="str">
        <f aca="false">VLOOKUP(D399,Products!$A$2:$D$13,2,FALSE())</f>
        <v>Accessories</v>
      </c>
      <c r="M399" s="3" t="n">
        <f aca="false">F399*G399*(1-H399/100)</f>
        <v>1358.3</v>
      </c>
      <c r="N399" s="0" t="str">
        <f aca="false">VLOOKUP(I399,Customers!$A$2:$D$121,3,FALSE())</f>
        <v>Kolkata</v>
      </c>
      <c r="O399" s="0" t="str">
        <f aca="false">VLOOKUP(I399,Customers!$A$2:$D$121,4,FALSE())</f>
        <v>Student</v>
      </c>
      <c r="P399" s="0" t="str">
        <f aca="false">TEXT(B399,"yyyy-mm")</f>
        <v>2026-02</v>
      </c>
    </row>
    <row r="400" customFormat="false" ht="15" hidden="false" customHeight="false" outlineLevel="0" collapsed="false">
      <c r="A400" s="0" t="s">
        <v>564</v>
      </c>
      <c r="B400" s="2" t="n">
        <v>45857</v>
      </c>
      <c r="C400" s="3" t="s">
        <v>72</v>
      </c>
      <c r="D400" s="3" t="s">
        <v>32</v>
      </c>
      <c r="E400" s="3" t="s">
        <v>73</v>
      </c>
      <c r="F400" s="0" t="n">
        <v>3</v>
      </c>
      <c r="G400" s="0" t="n">
        <v>249</v>
      </c>
      <c r="H400" s="0" t="n">
        <v>15</v>
      </c>
      <c r="I400" s="3" t="s">
        <v>65</v>
      </c>
      <c r="J400" s="0" t="n">
        <v>3</v>
      </c>
      <c r="K400" s="3" t="s">
        <v>43</v>
      </c>
      <c r="L400" s="0" t="str">
        <f aca="false">VLOOKUP(D400,Products!$A$2:$D$13,2,FALSE())</f>
        <v>Accessories</v>
      </c>
      <c r="M400" s="3" t="n">
        <f aca="false">F400*G400*(1-H400/100)</f>
        <v>634.95</v>
      </c>
      <c r="N400" s="0" t="str">
        <f aca="false">VLOOKUP(I400,Customers!$A$2:$D$121,3,FALSE())</f>
        <v>Jaipur</v>
      </c>
      <c r="O400" s="0" t="str">
        <f aca="false">VLOOKUP(I400,Customers!$A$2:$D$121,4,FALSE())</f>
        <v>Student</v>
      </c>
      <c r="P400" s="0" t="str">
        <f aca="false">TEXT(B400,"yyyy-mm")</f>
        <v>2025-07</v>
      </c>
    </row>
    <row r="401" customFormat="false" ht="15" hidden="false" customHeight="false" outlineLevel="0" collapsed="false">
      <c r="A401" s="0" t="s">
        <v>565</v>
      </c>
      <c r="B401" s="2" t="n">
        <v>45799</v>
      </c>
      <c r="C401" s="3" t="s">
        <v>17</v>
      </c>
      <c r="D401" s="3" t="s">
        <v>28</v>
      </c>
      <c r="E401" s="3" t="s">
        <v>93</v>
      </c>
      <c r="F401" s="0" t="n">
        <v>1</v>
      </c>
      <c r="G401" s="0" t="n">
        <v>450</v>
      </c>
      <c r="H401" s="0" t="n">
        <v>0</v>
      </c>
      <c r="I401" s="3" t="s">
        <v>182</v>
      </c>
      <c r="J401" s="0" t="n">
        <v>2</v>
      </c>
      <c r="K401" s="3" t="s">
        <v>34</v>
      </c>
      <c r="L401" s="0" t="str">
        <f aca="false">VLOOKUP(D401,Products!$A$2:$D$13,2,FALSE())</f>
        <v>Electronics</v>
      </c>
      <c r="M401" s="3" t="n">
        <f aca="false">F401*G401*(1-H401/100)</f>
        <v>450</v>
      </c>
      <c r="N401" s="0" t="str">
        <f aca="false">VLOOKUP(I401,Customers!$A$2:$D$121,3,FALSE())</f>
        <v>Pune</v>
      </c>
      <c r="O401" s="0" t="str">
        <f aca="false">VLOOKUP(I401,Customers!$A$2:$D$121,4,FALSE())</f>
        <v>Corporate</v>
      </c>
      <c r="P401" s="0" t="str">
        <f aca="false">TEXT(B401,"yyyy-mm")</f>
        <v>2025-05</v>
      </c>
    </row>
    <row r="402" customFormat="false" ht="15" hidden="false" customHeight="false" outlineLevel="0" collapsed="false">
      <c r="A402" s="0" t="s">
        <v>566</v>
      </c>
      <c r="B402" s="2" t="n">
        <v>45819</v>
      </c>
      <c r="C402" s="3" t="s">
        <v>72</v>
      </c>
      <c r="D402" s="3" t="s">
        <v>88</v>
      </c>
      <c r="E402" s="3" t="s">
        <v>89</v>
      </c>
      <c r="F402" s="0" t="n">
        <v>4</v>
      </c>
      <c r="G402" s="0" t="n">
        <v>799</v>
      </c>
      <c r="H402" s="0" t="n">
        <v>0</v>
      </c>
      <c r="I402" s="3" t="s">
        <v>20</v>
      </c>
      <c r="J402" s="0" t="n">
        <v>4</v>
      </c>
      <c r="K402" s="3" t="s">
        <v>34</v>
      </c>
      <c r="L402" s="0" t="str">
        <f aca="false">VLOOKUP(D402,Products!$A$2:$D$13,2,FALSE())</f>
        <v>Accessories</v>
      </c>
      <c r="M402" s="3" t="n">
        <f aca="false">F402*G402*(1-H402/100)</f>
        <v>3196</v>
      </c>
      <c r="N402" s="0" t="str">
        <f aca="false">VLOOKUP(I402,Customers!$A$2:$D$121,3,FALSE())</f>
        <v>Mumbai</v>
      </c>
      <c r="O402" s="0" t="str">
        <f aca="false">VLOOKUP(I402,Customers!$A$2:$D$121,4,FALSE())</f>
        <v>Student</v>
      </c>
      <c r="P402" s="0" t="str">
        <f aca="false">TEXT(B402,"yyyy-mm")</f>
        <v>2025-06</v>
      </c>
    </row>
    <row r="403" customFormat="false" ht="15" hidden="false" customHeight="false" outlineLevel="0" collapsed="false">
      <c r="A403" s="0" t="s">
        <v>567</v>
      </c>
      <c r="B403" s="2" t="n">
        <v>46085</v>
      </c>
      <c r="C403" s="3" t="s">
        <v>17</v>
      </c>
      <c r="D403" s="3" t="s">
        <v>48</v>
      </c>
      <c r="E403" s="3" t="s">
        <v>19</v>
      </c>
      <c r="F403" s="0" t="n">
        <v>1</v>
      </c>
      <c r="G403" s="0" t="n">
        <v>199</v>
      </c>
      <c r="H403" s="0" t="n">
        <v>0</v>
      </c>
      <c r="I403" s="3" t="s">
        <v>296</v>
      </c>
      <c r="J403" s="0" t="n">
        <v>4</v>
      </c>
      <c r="K403" s="3" t="s">
        <v>43</v>
      </c>
      <c r="L403" s="0" t="str">
        <f aca="false">VLOOKUP(D403,Products!$A$2:$D$13,2,FALSE())</f>
        <v>Home</v>
      </c>
      <c r="M403" s="3" t="n">
        <f aca="false">F403*G403*(1-H403/100)</f>
        <v>199</v>
      </c>
      <c r="N403" s="0" t="str">
        <f aca="false">VLOOKUP(I403,Customers!$A$2:$D$121,3,FALSE())</f>
        <v>Pune</v>
      </c>
      <c r="O403" s="0" t="str">
        <f aca="false">VLOOKUP(I403,Customers!$A$2:$D$121,4,FALSE())</f>
        <v>Retail</v>
      </c>
      <c r="P403" s="0" t="str">
        <f aca="false">TEXT(B403,"yyyy-mm")</f>
        <v>2026-03</v>
      </c>
    </row>
    <row r="404" customFormat="false" ht="15" hidden="false" customHeight="false" outlineLevel="0" collapsed="false">
      <c r="A404" s="0" t="s">
        <v>568</v>
      </c>
      <c r="B404" s="2" t="n">
        <v>45870</v>
      </c>
      <c r="C404" s="3" t="s">
        <v>17</v>
      </c>
      <c r="D404" s="3" t="s">
        <v>37</v>
      </c>
      <c r="E404" s="3" t="s">
        <v>93</v>
      </c>
      <c r="F404" s="0" t="n">
        <v>1</v>
      </c>
      <c r="G404" s="0" t="n">
        <v>500</v>
      </c>
      <c r="H404" s="0" t="n">
        <v>5</v>
      </c>
      <c r="I404" s="3" t="s">
        <v>536</v>
      </c>
      <c r="J404" s="0" t="n">
        <v>2</v>
      </c>
      <c r="K404" s="3" t="s">
        <v>21</v>
      </c>
      <c r="L404" s="0" t="str">
        <f aca="false">VLOOKUP(D404,Products!$A$2:$D$13,2,FALSE())</f>
        <v>Electronics</v>
      </c>
      <c r="M404" s="3" t="n">
        <f aca="false">F404*G404*(1-H404/100)</f>
        <v>475</v>
      </c>
      <c r="N404" s="0" t="str">
        <f aca="false">VLOOKUP(I404,Customers!$A$2:$D$121,3,FALSE())</f>
        <v>Chennai</v>
      </c>
      <c r="O404" s="0" t="str">
        <f aca="false">VLOOKUP(I404,Customers!$A$2:$D$121,4,FALSE())</f>
        <v>Student</v>
      </c>
      <c r="P404" s="0" t="str">
        <f aca="false">TEXT(B404,"yyyy-mm")</f>
        <v>2025-08</v>
      </c>
    </row>
    <row r="405" customFormat="false" ht="15" hidden="false" customHeight="false" outlineLevel="0" collapsed="false">
      <c r="A405" s="0" t="s">
        <v>569</v>
      </c>
      <c r="B405" s="2" t="n">
        <v>45932</v>
      </c>
      <c r="C405" s="3" t="s">
        <v>17</v>
      </c>
      <c r="D405" s="3" t="s">
        <v>57</v>
      </c>
      <c r="E405" s="3" t="s">
        <v>93</v>
      </c>
      <c r="F405" s="0" t="n">
        <v>4</v>
      </c>
      <c r="G405" s="0" t="n">
        <v>549</v>
      </c>
      <c r="H405" s="0" t="n">
        <v>0</v>
      </c>
      <c r="I405" s="3" t="s">
        <v>123</v>
      </c>
      <c r="J405" s="0" t="n">
        <v>4</v>
      </c>
      <c r="K405" s="3" t="s">
        <v>34</v>
      </c>
      <c r="L405" s="0" t="str">
        <f aca="false">VLOOKUP(D405,Products!$A$2:$D$13,2,FALSE())</f>
        <v>Accessories</v>
      </c>
      <c r="M405" s="3" t="n">
        <f aca="false">F405*G405*(1-H405/100)</f>
        <v>2196</v>
      </c>
      <c r="N405" s="0" t="str">
        <f aca="false">VLOOKUP(I405,Customers!$A$2:$D$121,3,FALSE())</f>
        <v>Chennai</v>
      </c>
      <c r="O405" s="0" t="str">
        <f aca="false">VLOOKUP(I405,Customers!$A$2:$D$121,4,FALSE())</f>
        <v>Student</v>
      </c>
      <c r="P405" s="0" t="str">
        <f aca="false">TEXT(B405,"yyyy-mm")</f>
        <v>2025-10</v>
      </c>
    </row>
    <row r="406" customFormat="false" ht="15" hidden="false" customHeight="false" outlineLevel="0" collapsed="false">
      <c r="A406" s="0" t="s">
        <v>570</v>
      </c>
      <c r="B406" s="2" t="n">
        <v>45989</v>
      </c>
      <c r="C406" s="3" t="s">
        <v>36</v>
      </c>
      <c r="D406" s="3" t="s">
        <v>57</v>
      </c>
      <c r="E406" s="3" t="s">
        <v>38</v>
      </c>
      <c r="F406" s="0" t="n">
        <v>1</v>
      </c>
      <c r="G406" s="0" t="n">
        <v>549</v>
      </c>
      <c r="H406" s="0" t="n">
        <v>0</v>
      </c>
      <c r="I406" s="3" t="s">
        <v>172</v>
      </c>
      <c r="J406" s="0" t="n">
        <v>4</v>
      </c>
      <c r="K406" s="3" t="s">
        <v>34</v>
      </c>
      <c r="L406" s="0" t="str">
        <f aca="false">VLOOKUP(D406,Products!$A$2:$D$13,2,FALSE())</f>
        <v>Accessories</v>
      </c>
      <c r="M406" s="3" t="n">
        <f aca="false">F406*G406*(1-H406/100)</f>
        <v>549</v>
      </c>
      <c r="N406" s="0" t="str">
        <f aca="false">VLOOKUP(I406,Customers!$A$2:$D$121,3,FALSE())</f>
        <v>Delhi</v>
      </c>
      <c r="O406" s="0" t="str">
        <f aca="false">VLOOKUP(I406,Customers!$A$2:$D$121,4,FALSE())</f>
        <v>Retail</v>
      </c>
      <c r="P406" s="0" t="str">
        <f aca="false">TEXT(B406,"yyyy-mm")</f>
        <v>2025-11</v>
      </c>
    </row>
    <row r="407" customFormat="false" ht="15" hidden="false" customHeight="false" outlineLevel="0" collapsed="false">
      <c r="A407" s="0" t="s">
        <v>571</v>
      </c>
      <c r="B407" s="2" t="n">
        <v>45778</v>
      </c>
      <c r="C407" s="3" t="s">
        <v>17</v>
      </c>
      <c r="D407" s="3" t="s">
        <v>28</v>
      </c>
      <c r="E407" s="3" t="s">
        <v>93</v>
      </c>
      <c r="F407" s="0" t="n">
        <v>1</v>
      </c>
      <c r="G407" s="0" t="n">
        <v>450</v>
      </c>
      <c r="H407" s="0" t="n">
        <v>5</v>
      </c>
      <c r="I407" s="3" t="s">
        <v>302</v>
      </c>
      <c r="J407" s="0" t="n">
        <v>3</v>
      </c>
      <c r="K407" s="3" t="s">
        <v>43</v>
      </c>
      <c r="L407" s="0" t="str">
        <f aca="false">VLOOKUP(D407,Products!$A$2:$D$13,2,FALSE())</f>
        <v>Electronics</v>
      </c>
      <c r="M407" s="3" t="n">
        <f aca="false">F407*G407*(1-H407/100)</f>
        <v>427.5</v>
      </c>
      <c r="N407" s="0" t="str">
        <f aca="false">VLOOKUP(I407,Customers!$A$2:$D$121,3,FALSE())</f>
        <v>Nagpur</v>
      </c>
      <c r="O407" s="0" t="str">
        <f aca="false">VLOOKUP(I407,Customers!$A$2:$D$121,4,FALSE())</f>
        <v>Retail</v>
      </c>
      <c r="P407" s="0" t="str">
        <f aca="false">TEXT(B407,"yyyy-mm")</f>
        <v>2025-05</v>
      </c>
    </row>
    <row r="408" customFormat="false" ht="15" hidden="false" customHeight="false" outlineLevel="0" collapsed="false">
      <c r="A408" s="0" t="s">
        <v>572</v>
      </c>
      <c r="B408" s="2" t="n">
        <v>45790</v>
      </c>
      <c r="C408" s="3" t="s">
        <v>51</v>
      </c>
      <c r="D408" s="3" t="s">
        <v>48</v>
      </c>
      <c r="E408" s="3" t="s">
        <v>52</v>
      </c>
      <c r="F408" s="0" t="n">
        <v>6</v>
      </c>
      <c r="G408" s="0" t="n">
        <v>199</v>
      </c>
      <c r="H408" s="0" t="n">
        <v>15</v>
      </c>
      <c r="I408" s="3" t="s">
        <v>286</v>
      </c>
      <c r="J408" s="0" t="n">
        <v>4</v>
      </c>
      <c r="K408" s="3" t="s">
        <v>34</v>
      </c>
      <c r="L408" s="0" t="str">
        <f aca="false">VLOOKUP(D408,Products!$A$2:$D$13,2,FALSE())</f>
        <v>Home</v>
      </c>
      <c r="M408" s="3" t="n">
        <f aca="false">F408*G408*(1-H408/100)</f>
        <v>1014.9</v>
      </c>
      <c r="N408" s="0" t="str">
        <f aca="false">VLOOKUP(I408,Customers!$A$2:$D$121,3,FALSE())</f>
        <v>Pune</v>
      </c>
      <c r="O408" s="0" t="str">
        <f aca="false">VLOOKUP(I408,Customers!$A$2:$D$121,4,FALSE())</f>
        <v>Corporate</v>
      </c>
      <c r="P408" s="0" t="str">
        <f aca="false">TEXT(B408,"yyyy-mm")</f>
        <v>2025-05</v>
      </c>
    </row>
    <row r="409" customFormat="false" ht="15" hidden="false" customHeight="false" outlineLevel="0" collapsed="false">
      <c r="A409" s="0" t="s">
        <v>573</v>
      </c>
      <c r="B409" s="2" t="n">
        <v>45788</v>
      </c>
      <c r="C409" s="3" t="s">
        <v>72</v>
      </c>
      <c r="D409" s="3" t="s">
        <v>45</v>
      </c>
      <c r="E409" s="3" t="s">
        <v>89</v>
      </c>
      <c r="F409" s="0" t="n">
        <v>6</v>
      </c>
      <c r="G409" s="0" t="n">
        <v>30</v>
      </c>
      <c r="H409" s="0" t="n">
        <v>10</v>
      </c>
      <c r="I409" s="3" t="s">
        <v>79</v>
      </c>
      <c r="J409" s="0" t="n">
        <v>3</v>
      </c>
      <c r="K409" s="3" t="s">
        <v>34</v>
      </c>
      <c r="L409" s="0" t="str">
        <f aca="false">VLOOKUP(D409,Products!$A$2:$D$13,2,FALSE())</f>
        <v>Stationery</v>
      </c>
      <c r="M409" s="3" t="n">
        <f aca="false">F409*G409*(1-H409/100)</f>
        <v>162</v>
      </c>
      <c r="N409" s="0" t="str">
        <f aca="false">VLOOKUP(I409,Customers!$A$2:$D$121,3,FALSE())</f>
        <v>Bhopal</v>
      </c>
      <c r="O409" s="0" t="str">
        <f aca="false">VLOOKUP(I409,Customers!$A$2:$D$121,4,FALSE())</f>
        <v>Retail</v>
      </c>
      <c r="P409" s="0" t="str">
        <f aca="false">TEXT(B409,"yyyy-mm")</f>
        <v>2025-05</v>
      </c>
    </row>
    <row r="410" customFormat="false" ht="15" hidden="false" customHeight="false" outlineLevel="0" collapsed="false">
      <c r="A410" s="0" t="s">
        <v>574</v>
      </c>
      <c r="B410" s="2" t="n">
        <v>46072</v>
      </c>
      <c r="C410" s="3" t="s">
        <v>23</v>
      </c>
      <c r="D410" s="3" t="s">
        <v>88</v>
      </c>
      <c r="E410" s="3" t="s">
        <v>29</v>
      </c>
      <c r="F410" s="0" t="n">
        <v>2</v>
      </c>
      <c r="G410" s="0" t="n">
        <v>799</v>
      </c>
      <c r="H410" s="0" t="n">
        <v>15</v>
      </c>
      <c r="I410" s="3" t="s">
        <v>74</v>
      </c>
      <c r="J410" s="0" t="n">
        <v>4</v>
      </c>
      <c r="K410" s="3" t="s">
        <v>43</v>
      </c>
      <c r="L410" s="0" t="str">
        <f aca="false">VLOOKUP(D410,Products!$A$2:$D$13,2,FALSE())</f>
        <v>Accessories</v>
      </c>
      <c r="M410" s="3" t="n">
        <f aca="false">F410*G410*(1-H410/100)</f>
        <v>1358.3</v>
      </c>
      <c r="N410" s="0" t="str">
        <f aca="false">VLOOKUP(I410,Customers!$A$2:$D$121,3,FALSE())</f>
        <v>Lucknow</v>
      </c>
      <c r="O410" s="0" t="str">
        <f aca="false">VLOOKUP(I410,Customers!$A$2:$D$121,4,FALSE())</f>
        <v>Retail</v>
      </c>
      <c r="P410" s="0" t="str">
        <f aca="false">TEXT(B410,"yyyy-mm")</f>
        <v>2026-02</v>
      </c>
    </row>
    <row r="411" customFormat="false" ht="15" hidden="false" customHeight="false" outlineLevel="0" collapsed="false">
      <c r="A411" s="0" t="s">
        <v>575</v>
      </c>
      <c r="B411" s="2" t="n">
        <v>45777</v>
      </c>
      <c r="C411" s="3" t="s">
        <v>36</v>
      </c>
      <c r="D411" s="3" t="s">
        <v>48</v>
      </c>
      <c r="E411" s="3" t="s">
        <v>38</v>
      </c>
      <c r="F411" s="0" t="n">
        <v>2</v>
      </c>
      <c r="G411" s="0" t="n">
        <v>199</v>
      </c>
      <c r="H411" s="0" t="n">
        <v>0</v>
      </c>
      <c r="I411" s="3" t="s">
        <v>67</v>
      </c>
      <c r="J411" s="0" t="n">
        <v>5</v>
      </c>
      <c r="K411" s="3" t="s">
        <v>43</v>
      </c>
      <c r="L411" s="0" t="str">
        <f aca="false">VLOOKUP(D411,Products!$A$2:$D$13,2,FALSE())</f>
        <v>Home</v>
      </c>
      <c r="M411" s="3" t="n">
        <f aca="false">F411*G411*(1-H411/100)</f>
        <v>398</v>
      </c>
      <c r="N411" s="0" t="str">
        <f aca="false">VLOOKUP(I411,Customers!$A$2:$D$121,3,FALSE())</f>
        <v>Jaipur</v>
      </c>
      <c r="O411" s="0" t="str">
        <f aca="false">VLOOKUP(I411,Customers!$A$2:$D$121,4,FALSE())</f>
        <v>Corporate</v>
      </c>
      <c r="P411" s="0" t="str">
        <f aca="false">TEXT(B411,"yyyy-mm")</f>
        <v>2025-04</v>
      </c>
    </row>
    <row r="412" customFormat="false" ht="15" hidden="false" customHeight="false" outlineLevel="0" collapsed="false">
      <c r="A412" s="0" t="s">
        <v>576</v>
      </c>
      <c r="B412" s="2" t="n">
        <v>45776</v>
      </c>
      <c r="C412" s="3" t="s">
        <v>23</v>
      </c>
      <c r="D412" s="3" t="s">
        <v>116</v>
      </c>
      <c r="E412" s="3" t="s">
        <v>24</v>
      </c>
      <c r="F412" s="0" t="n">
        <v>1</v>
      </c>
      <c r="G412" s="0" t="n">
        <v>699</v>
      </c>
      <c r="H412" s="0" t="n">
        <v>0</v>
      </c>
      <c r="I412" s="3" t="s">
        <v>269</v>
      </c>
      <c r="J412" s="0" t="n">
        <v>5</v>
      </c>
      <c r="K412" s="3" t="s">
        <v>21</v>
      </c>
      <c r="L412" s="0" t="str">
        <f aca="false">VLOOKUP(D412,Products!$A$2:$D$13,2,FALSE())</f>
        <v>Home</v>
      </c>
      <c r="M412" s="3" t="n">
        <f aca="false">F412*G412*(1-H412/100)</f>
        <v>699</v>
      </c>
      <c r="N412" s="0" t="str">
        <f aca="false">VLOOKUP(I412,Customers!$A$2:$D$121,3,FALSE())</f>
        <v>Mumbai</v>
      </c>
      <c r="O412" s="0" t="str">
        <f aca="false">VLOOKUP(I412,Customers!$A$2:$D$121,4,FALSE())</f>
        <v>Student</v>
      </c>
      <c r="P412" s="0" t="str">
        <f aca="false">TEXT(B412,"yyyy-mm")</f>
        <v>2025-04</v>
      </c>
    </row>
    <row r="413" customFormat="false" ht="15" hidden="false" customHeight="false" outlineLevel="0" collapsed="false">
      <c r="A413" s="0" t="s">
        <v>577</v>
      </c>
      <c r="B413" s="2" t="n">
        <v>46107</v>
      </c>
      <c r="C413" s="3" t="s">
        <v>36</v>
      </c>
      <c r="D413" s="3" t="s">
        <v>60</v>
      </c>
      <c r="E413" s="3" t="s">
        <v>69</v>
      </c>
      <c r="F413" s="0" t="n">
        <v>1</v>
      </c>
      <c r="G413" s="0" t="n">
        <v>40</v>
      </c>
      <c r="H413" s="0" t="n">
        <v>0</v>
      </c>
      <c r="I413" s="3" t="s">
        <v>359</v>
      </c>
      <c r="J413" s="0" t="n">
        <v>4</v>
      </c>
      <c r="K413" s="3" t="s">
        <v>34</v>
      </c>
      <c r="L413" s="0" t="str">
        <f aca="false">VLOOKUP(D413,Products!$A$2:$D$13,2,FALSE())</f>
        <v>Stationery</v>
      </c>
      <c r="M413" s="3" t="n">
        <f aca="false">F413*G413*(1-H413/100)</f>
        <v>40</v>
      </c>
      <c r="N413" s="0" t="str">
        <f aca="false">VLOOKUP(I413,Customers!$A$2:$D$121,3,FALSE())</f>
        <v>Mumbai</v>
      </c>
      <c r="O413" s="0" t="str">
        <f aca="false">VLOOKUP(I413,Customers!$A$2:$D$121,4,FALSE())</f>
        <v>Retail</v>
      </c>
      <c r="P413" s="0" t="str">
        <f aca="false">TEXT(B413,"yyyy-mm")</f>
        <v>2026-03</v>
      </c>
    </row>
    <row r="414" customFormat="false" ht="15" hidden="false" customHeight="false" outlineLevel="0" collapsed="false">
      <c r="A414" s="0" t="s">
        <v>578</v>
      </c>
      <c r="B414" s="2" t="n">
        <v>45812</v>
      </c>
      <c r="C414" s="3" t="s">
        <v>72</v>
      </c>
      <c r="D414" s="3" t="s">
        <v>108</v>
      </c>
      <c r="E414" s="3" t="s">
        <v>89</v>
      </c>
      <c r="F414" s="0" t="n">
        <v>1</v>
      </c>
      <c r="G414" s="0" t="n">
        <v>180</v>
      </c>
      <c r="H414" s="0" t="n">
        <v>15</v>
      </c>
      <c r="I414" s="3" t="s">
        <v>337</v>
      </c>
      <c r="J414" s="0" t="n">
        <v>5</v>
      </c>
      <c r="K414" s="3" t="s">
        <v>21</v>
      </c>
      <c r="L414" s="0" t="str">
        <f aca="false">VLOOKUP(D414,Products!$A$2:$D$13,2,FALSE())</f>
        <v>Stationery</v>
      </c>
      <c r="M414" s="3" t="n">
        <f aca="false">F414*G414*(1-H414/100)</f>
        <v>153</v>
      </c>
      <c r="N414" s="0" t="str">
        <f aca="false">VLOOKUP(I414,Customers!$A$2:$D$121,3,FALSE())</f>
        <v>Lucknow</v>
      </c>
      <c r="O414" s="0" t="str">
        <f aca="false">VLOOKUP(I414,Customers!$A$2:$D$121,4,FALSE())</f>
        <v>Student</v>
      </c>
      <c r="P414" s="0" t="str">
        <f aca="false">TEXT(B414,"yyyy-mm")</f>
        <v>2025-06</v>
      </c>
    </row>
    <row r="415" customFormat="false" ht="15" hidden="false" customHeight="false" outlineLevel="0" collapsed="false">
      <c r="A415" s="0" t="s">
        <v>579</v>
      </c>
      <c r="B415" s="2" t="n">
        <v>45887</v>
      </c>
      <c r="C415" s="3" t="s">
        <v>51</v>
      </c>
      <c r="D415" s="3" t="s">
        <v>41</v>
      </c>
      <c r="E415" s="3" t="s">
        <v>52</v>
      </c>
      <c r="F415" s="0" t="n">
        <v>2</v>
      </c>
      <c r="G415" s="0" t="n">
        <v>399</v>
      </c>
      <c r="H415" s="0" t="n">
        <v>10</v>
      </c>
      <c r="I415" s="3" t="s">
        <v>191</v>
      </c>
      <c r="J415" s="0" t="n">
        <v>3</v>
      </c>
      <c r="K415" s="3" t="s">
        <v>43</v>
      </c>
      <c r="L415" s="0" t="str">
        <f aca="false">VLOOKUP(D415,Products!$A$2:$D$13,2,FALSE())</f>
        <v>Electronics</v>
      </c>
      <c r="M415" s="3" t="n">
        <f aca="false">F415*G415*(1-H415/100)</f>
        <v>718.2</v>
      </c>
      <c r="N415" s="0" t="str">
        <f aca="false">VLOOKUP(I415,Customers!$A$2:$D$121,3,FALSE())</f>
        <v>Lucknow</v>
      </c>
      <c r="O415" s="0" t="str">
        <f aca="false">VLOOKUP(I415,Customers!$A$2:$D$121,4,FALSE())</f>
        <v>Student</v>
      </c>
      <c r="P415" s="0" t="str">
        <f aca="false">TEXT(B415,"yyyy-mm")</f>
        <v>2025-08</v>
      </c>
    </row>
    <row r="416" customFormat="false" ht="15" hidden="false" customHeight="false" outlineLevel="0" collapsed="false">
      <c r="A416" s="0" t="s">
        <v>580</v>
      </c>
      <c r="B416" s="2" t="n">
        <v>45932</v>
      </c>
      <c r="C416" s="3" t="s">
        <v>23</v>
      </c>
      <c r="D416" s="3" t="s">
        <v>32</v>
      </c>
      <c r="E416" s="3" t="s">
        <v>24</v>
      </c>
      <c r="F416" s="0" t="n">
        <v>3</v>
      </c>
      <c r="G416" s="0" t="n">
        <v>249</v>
      </c>
      <c r="H416" s="0" t="n">
        <v>0</v>
      </c>
      <c r="I416" s="3" t="s">
        <v>411</v>
      </c>
      <c r="J416" s="0" t="n">
        <v>5</v>
      </c>
      <c r="K416" s="3" t="s">
        <v>34</v>
      </c>
      <c r="L416" s="0" t="str">
        <f aca="false">VLOOKUP(D416,Products!$A$2:$D$13,2,FALSE())</f>
        <v>Accessories</v>
      </c>
      <c r="M416" s="3" t="n">
        <f aca="false">F416*G416*(1-H416/100)</f>
        <v>747</v>
      </c>
      <c r="N416" s="0" t="str">
        <f aca="false">VLOOKUP(I416,Customers!$A$2:$D$121,3,FALSE())</f>
        <v>Pune</v>
      </c>
      <c r="O416" s="0" t="str">
        <f aca="false">VLOOKUP(I416,Customers!$A$2:$D$121,4,FALSE())</f>
        <v>Corporate</v>
      </c>
      <c r="P416" s="0" t="str">
        <f aca="false">TEXT(B416,"yyyy-mm")</f>
        <v>2025-10</v>
      </c>
    </row>
    <row r="417" customFormat="false" ht="15" hidden="false" customHeight="false" outlineLevel="0" collapsed="false">
      <c r="A417" s="0" t="s">
        <v>581</v>
      </c>
      <c r="B417" s="2" t="n">
        <v>45800</v>
      </c>
      <c r="C417" s="3" t="s">
        <v>72</v>
      </c>
      <c r="D417" s="3" t="s">
        <v>108</v>
      </c>
      <c r="E417" s="3" t="s">
        <v>89</v>
      </c>
      <c r="F417" s="0" t="n">
        <v>3</v>
      </c>
      <c r="G417" s="0" t="n">
        <v>180</v>
      </c>
      <c r="H417" s="0" t="n">
        <v>10</v>
      </c>
      <c r="I417" s="3" t="s">
        <v>152</v>
      </c>
      <c r="J417" s="0" t="n">
        <v>4</v>
      </c>
      <c r="K417" s="3" t="s">
        <v>21</v>
      </c>
      <c r="L417" s="0" t="str">
        <f aca="false">VLOOKUP(D417,Products!$A$2:$D$13,2,FALSE())</f>
        <v>Stationery</v>
      </c>
      <c r="M417" s="3" t="n">
        <f aca="false">F417*G417*(1-H417/100)</f>
        <v>486</v>
      </c>
      <c r="N417" s="0" t="str">
        <f aca="false">VLOOKUP(I417,Customers!$A$2:$D$121,3,FALSE())</f>
        <v>Bhopal</v>
      </c>
      <c r="O417" s="0" t="str">
        <f aca="false">VLOOKUP(I417,Customers!$A$2:$D$121,4,FALSE())</f>
        <v>Corporate</v>
      </c>
      <c r="P417" s="0" t="str">
        <f aca="false">TEXT(B417,"yyyy-mm")</f>
        <v>2025-05</v>
      </c>
    </row>
    <row r="418" customFormat="false" ht="15" hidden="false" customHeight="false" outlineLevel="0" collapsed="false">
      <c r="A418" s="0" t="s">
        <v>582</v>
      </c>
      <c r="B418" s="2" t="n">
        <v>45873</v>
      </c>
      <c r="C418" s="3" t="s">
        <v>17</v>
      </c>
      <c r="D418" s="3" t="s">
        <v>60</v>
      </c>
      <c r="E418" s="3" t="s">
        <v>19</v>
      </c>
      <c r="F418" s="0" t="n">
        <v>3</v>
      </c>
      <c r="G418" s="0" t="n">
        <v>40</v>
      </c>
      <c r="H418" s="0" t="n">
        <v>0</v>
      </c>
      <c r="I418" s="3" t="s">
        <v>223</v>
      </c>
      <c r="J418" s="0" t="n">
        <v>4</v>
      </c>
      <c r="K418" s="3" t="s">
        <v>26</v>
      </c>
      <c r="L418" s="0" t="str">
        <f aca="false">VLOOKUP(D418,Products!$A$2:$D$13,2,FALSE())</f>
        <v>Stationery</v>
      </c>
      <c r="M418" s="3" t="n">
        <f aca="false">F418*G418*(1-H418/100)</f>
        <v>120</v>
      </c>
      <c r="N418" s="0" t="str">
        <f aca="false">VLOOKUP(I418,Customers!$A$2:$D$121,3,FALSE())</f>
        <v>Jaipur</v>
      </c>
      <c r="O418" s="0" t="str">
        <f aca="false">VLOOKUP(I418,Customers!$A$2:$D$121,4,FALSE())</f>
        <v>Student</v>
      </c>
      <c r="P418" s="0" t="str">
        <f aca="false">TEXT(B418,"yyyy-mm")</f>
        <v>2025-08</v>
      </c>
    </row>
    <row r="419" customFormat="false" ht="15" hidden="false" customHeight="false" outlineLevel="0" collapsed="false">
      <c r="A419" s="0" t="s">
        <v>583</v>
      </c>
      <c r="B419" s="2" t="n">
        <v>46083</v>
      </c>
      <c r="C419" s="3" t="s">
        <v>23</v>
      </c>
      <c r="D419" s="3" t="s">
        <v>60</v>
      </c>
      <c r="E419" s="3" t="s">
        <v>29</v>
      </c>
      <c r="F419" s="0" t="n">
        <v>1</v>
      </c>
      <c r="G419" s="0" t="n">
        <v>40</v>
      </c>
      <c r="H419" s="0" t="n">
        <v>5</v>
      </c>
      <c r="I419" s="3" t="s">
        <v>203</v>
      </c>
      <c r="J419" s="0" t="n">
        <v>3</v>
      </c>
      <c r="K419" s="3" t="s">
        <v>34</v>
      </c>
      <c r="L419" s="0" t="str">
        <f aca="false">VLOOKUP(D419,Products!$A$2:$D$13,2,FALSE())</f>
        <v>Stationery</v>
      </c>
      <c r="M419" s="3" t="n">
        <f aca="false">F419*G419*(1-H419/100)</f>
        <v>38</v>
      </c>
      <c r="N419" s="0" t="str">
        <f aca="false">VLOOKUP(I419,Customers!$A$2:$D$121,3,FALSE())</f>
        <v>Jaipur</v>
      </c>
      <c r="O419" s="0" t="str">
        <f aca="false">VLOOKUP(I419,Customers!$A$2:$D$121,4,FALSE())</f>
        <v>Corporate</v>
      </c>
      <c r="P419" s="0" t="str">
        <f aca="false">TEXT(B419,"yyyy-mm")</f>
        <v>2026-03</v>
      </c>
    </row>
    <row r="420" customFormat="false" ht="15" hidden="false" customHeight="false" outlineLevel="0" collapsed="false">
      <c r="A420" s="0" t="s">
        <v>584</v>
      </c>
      <c r="B420" s="2" t="n">
        <v>46040</v>
      </c>
      <c r="C420" s="3" t="s">
        <v>17</v>
      </c>
      <c r="D420" s="3" t="s">
        <v>37</v>
      </c>
      <c r="E420" s="3" t="s">
        <v>19</v>
      </c>
      <c r="F420" s="0" t="n">
        <v>2</v>
      </c>
      <c r="G420" s="0" t="n">
        <v>500</v>
      </c>
      <c r="H420" s="0" t="n">
        <v>0</v>
      </c>
      <c r="I420" s="3" t="s">
        <v>243</v>
      </c>
      <c r="J420" s="0" t="n">
        <v>4</v>
      </c>
      <c r="K420" s="3" t="s">
        <v>26</v>
      </c>
      <c r="L420" s="0" t="str">
        <f aca="false">VLOOKUP(D420,Products!$A$2:$D$13,2,FALSE())</f>
        <v>Electronics</v>
      </c>
      <c r="M420" s="3" t="n">
        <f aca="false">F420*G420*(1-H420/100)</f>
        <v>1000</v>
      </c>
      <c r="N420" s="0" t="str">
        <f aca="false">VLOOKUP(I420,Customers!$A$2:$D$121,3,FALSE())</f>
        <v>Jaipur</v>
      </c>
      <c r="O420" s="0" t="str">
        <f aca="false">VLOOKUP(I420,Customers!$A$2:$D$121,4,FALSE())</f>
        <v>Corporate</v>
      </c>
      <c r="P420" s="0" t="str">
        <f aca="false">TEXT(B420,"yyyy-mm")</f>
        <v>2026-01</v>
      </c>
    </row>
    <row r="421" customFormat="false" ht="15" hidden="false" customHeight="false" outlineLevel="0" collapsed="false">
      <c r="A421" s="0" t="s">
        <v>585</v>
      </c>
      <c r="B421" s="2" t="n">
        <v>45771</v>
      </c>
      <c r="C421" s="3" t="s">
        <v>23</v>
      </c>
      <c r="D421" s="3" t="s">
        <v>28</v>
      </c>
      <c r="E421" s="3" t="s">
        <v>29</v>
      </c>
      <c r="F421" s="0" t="n">
        <v>1</v>
      </c>
      <c r="G421" s="0" t="n">
        <v>450</v>
      </c>
      <c r="H421" s="0" t="n">
        <v>5</v>
      </c>
      <c r="I421" s="3" t="s">
        <v>191</v>
      </c>
      <c r="J421" s="0" t="n">
        <v>5</v>
      </c>
      <c r="K421" s="3" t="s">
        <v>34</v>
      </c>
      <c r="L421" s="0" t="str">
        <f aca="false">VLOOKUP(D421,Products!$A$2:$D$13,2,FALSE())</f>
        <v>Electronics</v>
      </c>
      <c r="M421" s="3" t="n">
        <f aca="false">F421*G421*(1-H421/100)</f>
        <v>427.5</v>
      </c>
      <c r="N421" s="0" t="str">
        <f aca="false">VLOOKUP(I421,Customers!$A$2:$D$121,3,FALSE())</f>
        <v>Lucknow</v>
      </c>
      <c r="O421" s="0" t="str">
        <f aca="false">VLOOKUP(I421,Customers!$A$2:$D$121,4,FALSE())</f>
        <v>Student</v>
      </c>
      <c r="P421" s="0" t="str">
        <f aca="false">TEXT(B421,"yyyy-mm")</f>
        <v>2025-04</v>
      </c>
    </row>
    <row r="422" customFormat="false" ht="15" hidden="false" customHeight="false" outlineLevel="0" collapsed="false">
      <c r="A422" s="0" t="s">
        <v>586</v>
      </c>
      <c r="B422" s="2" t="n">
        <v>46031</v>
      </c>
      <c r="C422" s="3" t="s">
        <v>17</v>
      </c>
      <c r="D422" s="3" t="s">
        <v>41</v>
      </c>
      <c r="E422" s="3" t="s">
        <v>93</v>
      </c>
      <c r="F422" s="0" t="n">
        <v>2</v>
      </c>
      <c r="G422" s="0" t="n">
        <v>399</v>
      </c>
      <c r="H422" s="0" t="n">
        <v>5</v>
      </c>
      <c r="I422" s="3" t="s">
        <v>210</v>
      </c>
      <c r="J422" s="0" t="n">
        <v>4</v>
      </c>
      <c r="K422" s="3" t="s">
        <v>34</v>
      </c>
      <c r="L422" s="0" t="str">
        <f aca="false">VLOOKUP(D422,Products!$A$2:$D$13,2,FALSE())</f>
        <v>Electronics</v>
      </c>
      <c r="M422" s="3" t="n">
        <f aca="false">F422*G422*(1-H422/100)</f>
        <v>758.1</v>
      </c>
      <c r="N422" s="0" t="str">
        <f aca="false">VLOOKUP(I422,Customers!$A$2:$D$121,3,FALSE())</f>
        <v>Indore</v>
      </c>
      <c r="O422" s="0" t="str">
        <f aca="false">VLOOKUP(I422,Customers!$A$2:$D$121,4,FALSE())</f>
        <v>Student</v>
      </c>
      <c r="P422" s="0" t="str">
        <f aca="false">TEXT(B422,"yyyy-mm")</f>
        <v>2026-01</v>
      </c>
    </row>
    <row r="423" customFormat="false" ht="15" hidden="false" customHeight="false" outlineLevel="0" collapsed="false">
      <c r="A423" s="0" t="s">
        <v>587</v>
      </c>
      <c r="B423" s="2" t="n">
        <v>45872</v>
      </c>
      <c r="C423" s="3" t="s">
        <v>23</v>
      </c>
      <c r="D423" s="3" t="s">
        <v>48</v>
      </c>
      <c r="E423" s="3" t="s">
        <v>29</v>
      </c>
      <c r="F423" s="0" t="n">
        <v>1</v>
      </c>
      <c r="G423" s="0" t="n">
        <v>199</v>
      </c>
      <c r="H423" s="0" t="n">
        <v>5</v>
      </c>
      <c r="I423" s="3" t="s">
        <v>317</v>
      </c>
      <c r="J423" s="0" t="n">
        <v>4</v>
      </c>
      <c r="K423" s="3" t="s">
        <v>26</v>
      </c>
      <c r="L423" s="0" t="str">
        <f aca="false">VLOOKUP(D423,Products!$A$2:$D$13,2,FALSE())</f>
        <v>Home</v>
      </c>
      <c r="M423" s="3" t="n">
        <f aca="false">F423*G423*(1-H423/100)</f>
        <v>189.05</v>
      </c>
      <c r="N423" s="0" t="str">
        <f aca="false">VLOOKUP(I423,Customers!$A$2:$D$121,3,FALSE())</f>
        <v>Jaipur</v>
      </c>
      <c r="O423" s="0" t="str">
        <f aca="false">VLOOKUP(I423,Customers!$A$2:$D$121,4,FALSE())</f>
        <v>Student</v>
      </c>
      <c r="P423" s="0" t="str">
        <f aca="false">TEXT(B423,"yyyy-mm")</f>
        <v>2025-08</v>
      </c>
    </row>
    <row r="424" customFormat="false" ht="15" hidden="false" customHeight="false" outlineLevel="0" collapsed="false">
      <c r="A424" s="0" t="s">
        <v>588</v>
      </c>
      <c r="B424" s="2" t="n">
        <v>45873</v>
      </c>
      <c r="C424" s="3" t="s">
        <v>23</v>
      </c>
      <c r="D424" s="3" t="s">
        <v>48</v>
      </c>
      <c r="E424" s="3" t="s">
        <v>24</v>
      </c>
      <c r="F424" s="0" t="n">
        <v>4</v>
      </c>
      <c r="G424" s="0" t="n">
        <v>199</v>
      </c>
      <c r="H424" s="0" t="n">
        <v>0</v>
      </c>
      <c r="I424" s="3" t="s">
        <v>130</v>
      </c>
      <c r="J424" s="0" t="n">
        <v>5</v>
      </c>
      <c r="K424" s="3" t="s">
        <v>26</v>
      </c>
      <c r="L424" s="0" t="str">
        <f aca="false">VLOOKUP(D424,Products!$A$2:$D$13,2,FALSE())</f>
        <v>Home</v>
      </c>
      <c r="M424" s="3" t="n">
        <f aca="false">F424*G424*(1-H424/100)</f>
        <v>796</v>
      </c>
      <c r="N424" s="0" t="str">
        <f aca="false">VLOOKUP(I424,Customers!$A$2:$D$121,3,FALSE())</f>
        <v>Nagpur</v>
      </c>
      <c r="O424" s="0" t="str">
        <f aca="false">VLOOKUP(I424,Customers!$A$2:$D$121,4,FALSE())</f>
        <v>Retail</v>
      </c>
      <c r="P424" s="0" t="str">
        <f aca="false">TEXT(B424,"yyyy-mm")</f>
        <v>2025-08</v>
      </c>
    </row>
    <row r="425" customFormat="false" ht="15" hidden="false" customHeight="false" outlineLevel="0" collapsed="false">
      <c r="A425" s="0" t="s">
        <v>589</v>
      </c>
      <c r="B425" s="2" t="n">
        <v>45905</v>
      </c>
      <c r="C425" s="3" t="s">
        <v>51</v>
      </c>
      <c r="D425" s="3" t="s">
        <v>18</v>
      </c>
      <c r="E425" s="3" t="s">
        <v>52</v>
      </c>
      <c r="F425" s="0" t="n">
        <v>1</v>
      </c>
      <c r="G425" s="0" t="n">
        <v>349</v>
      </c>
      <c r="H425" s="0" t="n">
        <v>0</v>
      </c>
      <c r="I425" s="3" t="s">
        <v>296</v>
      </c>
      <c r="J425" s="0" t="n">
        <v>4</v>
      </c>
      <c r="K425" s="3" t="s">
        <v>43</v>
      </c>
      <c r="L425" s="0" t="str">
        <f aca="false">VLOOKUP(D425,Products!$A$2:$D$13,2,FALSE())</f>
        <v>Home</v>
      </c>
      <c r="M425" s="3" t="n">
        <f aca="false">F425*G425*(1-H425/100)</f>
        <v>349</v>
      </c>
      <c r="N425" s="0" t="str">
        <f aca="false">VLOOKUP(I425,Customers!$A$2:$D$121,3,FALSE())</f>
        <v>Pune</v>
      </c>
      <c r="O425" s="0" t="str">
        <f aca="false">VLOOKUP(I425,Customers!$A$2:$D$121,4,FALSE())</f>
        <v>Retail</v>
      </c>
      <c r="P425" s="0" t="str">
        <f aca="false">TEXT(B425,"yyyy-mm")</f>
        <v>2025-09</v>
      </c>
    </row>
    <row r="426" customFormat="false" ht="15" hidden="false" customHeight="false" outlineLevel="0" collapsed="false">
      <c r="A426" s="0" t="s">
        <v>590</v>
      </c>
      <c r="B426" s="2" t="n">
        <v>45820</v>
      </c>
      <c r="C426" s="3" t="s">
        <v>17</v>
      </c>
      <c r="D426" s="3" t="s">
        <v>32</v>
      </c>
      <c r="E426" s="3" t="s">
        <v>19</v>
      </c>
      <c r="F426" s="0" t="n">
        <v>1</v>
      </c>
      <c r="G426" s="0" t="n">
        <v>249</v>
      </c>
      <c r="H426" s="0" t="n">
        <v>15</v>
      </c>
      <c r="I426" s="3" t="s">
        <v>20</v>
      </c>
      <c r="J426" s="0" t="n">
        <v>2</v>
      </c>
      <c r="K426" s="3" t="s">
        <v>43</v>
      </c>
      <c r="L426" s="0" t="str">
        <f aca="false">VLOOKUP(D426,Products!$A$2:$D$13,2,FALSE())</f>
        <v>Accessories</v>
      </c>
      <c r="M426" s="3" t="n">
        <f aca="false">F426*G426*(1-H426/100)</f>
        <v>211.65</v>
      </c>
      <c r="N426" s="0" t="str">
        <f aca="false">VLOOKUP(I426,Customers!$A$2:$D$121,3,FALSE())</f>
        <v>Mumbai</v>
      </c>
      <c r="O426" s="0" t="str">
        <f aca="false">VLOOKUP(I426,Customers!$A$2:$D$121,4,FALSE())</f>
        <v>Student</v>
      </c>
      <c r="P426" s="0" t="str">
        <f aca="false">TEXT(B426,"yyyy-mm")</f>
        <v>2025-06</v>
      </c>
    </row>
    <row r="427" customFormat="false" ht="15" hidden="false" customHeight="false" outlineLevel="0" collapsed="false">
      <c r="A427" s="0" t="s">
        <v>591</v>
      </c>
      <c r="B427" s="2" t="n">
        <v>45982</v>
      </c>
      <c r="C427" s="3" t="s">
        <v>72</v>
      </c>
      <c r="D427" s="3" t="s">
        <v>48</v>
      </c>
      <c r="E427" s="3" t="s">
        <v>89</v>
      </c>
      <c r="F427" s="0" t="n">
        <v>3</v>
      </c>
      <c r="G427" s="0" t="n">
        <v>199</v>
      </c>
      <c r="H427" s="0" t="n">
        <v>15</v>
      </c>
      <c r="I427" s="3" t="s">
        <v>324</v>
      </c>
      <c r="J427" s="0" t="n">
        <v>4</v>
      </c>
      <c r="K427" s="3" t="s">
        <v>43</v>
      </c>
      <c r="L427" s="0" t="str">
        <f aca="false">VLOOKUP(D427,Products!$A$2:$D$13,2,FALSE())</f>
        <v>Home</v>
      </c>
      <c r="M427" s="3" t="n">
        <f aca="false">F427*G427*(1-H427/100)</f>
        <v>507.45</v>
      </c>
      <c r="N427" s="0" t="str">
        <f aca="false">VLOOKUP(I427,Customers!$A$2:$D$121,3,FALSE())</f>
        <v>Bhopal</v>
      </c>
      <c r="O427" s="0" t="str">
        <f aca="false">VLOOKUP(I427,Customers!$A$2:$D$121,4,FALSE())</f>
        <v>Retail</v>
      </c>
      <c r="P427" s="0" t="str">
        <f aca="false">TEXT(B427,"yyyy-mm")</f>
        <v>2025-11</v>
      </c>
    </row>
    <row r="428" customFormat="false" ht="15" hidden="false" customHeight="false" outlineLevel="0" collapsed="false">
      <c r="A428" s="0" t="s">
        <v>592</v>
      </c>
      <c r="B428" s="2" t="n">
        <v>46038</v>
      </c>
      <c r="C428" s="3" t="s">
        <v>23</v>
      </c>
      <c r="D428" s="3" t="s">
        <v>45</v>
      </c>
      <c r="E428" s="3" t="s">
        <v>24</v>
      </c>
      <c r="F428" s="0" t="n">
        <v>2</v>
      </c>
      <c r="G428" s="0" t="n">
        <v>30</v>
      </c>
      <c r="H428" s="0" t="n">
        <v>0</v>
      </c>
      <c r="I428" s="3" t="s">
        <v>489</v>
      </c>
      <c r="J428" s="0" t="n">
        <v>4</v>
      </c>
      <c r="K428" s="3" t="s">
        <v>26</v>
      </c>
      <c r="L428" s="0" t="str">
        <f aca="false">VLOOKUP(D428,Products!$A$2:$D$13,2,FALSE())</f>
        <v>Stationery</v>
      </c>
      <c r="M428" s="3" t="n">
        <f aca="false">F428*G428*(1-H428/100)</f>
        <v>60</v>
      </c>
      <c r="N428" s="0" t="str">
        <f aca="false">VLOOKUP(I428,Customers!$A$2:$D$121,3,FALSE())</f>
        <v>Kolkata</v>
      </c>
      <c r="O428" s="0" t="str">
        <f aca="false">VLOOKUP(I428,Customers!$A$2:$D$121,4,FALSE())</f>
        <v>Retail</v>
      </c>
      <c r="P428" s="0" t="str">
        <f aca="false">TEXT(B428,"yyyy-mm")</f>
        <v>2026-01</v>
      </c>
    </row>
    <row r="429" customFormat="false" ht="15" hidden="false" customHeight="false" outlineLevel="0" collapsed="false">
      <c r="A429" s="0" t="s">
        <v>593</v>
      </c>
      <c r="B429" s="2" t="n">
        <v>45909</v>
      </c>
      <c r="C429" s="3" t="s">
        <v>72</v>
      </c>
      <c r="D429" s="3" t="s">
        <v>37</v>
      </c>
      <c r="E429" s="3" t="s">
        <v>73</v>
      </c>
      <c r="F429" s="0" t="n">
        <v>1</v>
      </c>
      <c r="G429" s="0" t="n">
        <v>500</v>
      </c>
      <c r="H429" s="0" t="n">
        <v>5</v>
      </c>
      <c r="I429" s="3" t="s">
        <v>55</v>
      </c>
      <c r="J429" s="0" t="n">
        <v>5</v>
      </c>
      <c r="K429" s="3" t="s">
        <v>34</v>
      </c>
      <c r="L429" s="0" t="str">
        <f aca="false">VLOOKUP(D429,Products!$A$2:$D$13,2,FALSE())</f>
        <v>Electronics</v>
      </c>
      <c r="M429" s="3" t="n">
        <f aca="false">F429*G429*(1-H429/100)</f>
        <v>475</v>
      </c>
      <c r="N429" s="0" t="str">
        <f aca="false">VLOOKUP(I429,Customers!$A$2:$D$121,3,FALSE())</f>
        <v>Jaipur</v>
      </c>
      <c r="O429" s="0" t="str">
        <f aca="false">VLOOKUP(I429,Customers!$A$2:$D$121,4,FALSE())</f>
        <v>Corporate</v>
      </c>
      <c r="P429" s="0" t="str">
        <f aca="false">TEXT(B429,"yyyy-mm")</f>
        <v>2025-09</v>
      </c>
    </row>
    <row r="430" customFormat="false" ht="15" hidden="false" customHeight="false" outlineLevel="0" collapsed="false">
      <c r="A430" s="0" t="s">
        <v>594</v>
      </c>
      <c r="B430" s="2" t="n">
        <v>45867</v>
      </c>
      <c r="C430" s="3" t="s">
        <v>72</v>
      </c>
      <c r="D430" s="3" t="s">
        <v>32</v>
      </c>
      <c r="E430" s="3" t="s">
        <v>89</v>
      </c>
      <c r="F430" s="0" t="n">
        <v>1</v>
      </c>
      <c r="G430" s="0" t="n">
        <v>249</v>
      </c>
      <c r="H430" s="0" t="n">
        <v>0</v>
      </c>
      <c r="I430" s="3" t="s">
        <v>273</v>
      </c>
      <c r="J430" s="0" t="n">
        <v>3</v>
      </c>
      <c r="K430" s="3" t="s">
        <v>26</v>
      </c>
      <c r="L430" s="0" t="str">
        <f aca="false">VLOOKUP(D430,Products!$A$2:$D$13,2,FALSE())</f>
        <v>Accessories</v>
      </c>
      <c r="M430" s="3" t="n">
        <f aca="false">F430*G430*(1-H430/100)</f>
        <v>249</v>
      </c>
      <c r="N430" s="0" t="str">
        <f aca="false">VLOOKUP(I430,Customers!$A$2:$D$121,3,FALSE())</f>
        <v>Jaipur</v>
      </c>
      <c r="O430" s="0" t="str">
        <f aca="false">VLOOKUP(I430,Customers!$A$2:$D$121,4,FALSE())</f>
        <v>Corporate</v>
      </c>
      <c r="P430" s="0" t="str">
        <f aca="false">TEXT(B430,"yyyy-mm")</f>
        <v>2025-07</v>
      </c>
    </row>
    <row r="431" customFormat="false" ht="15" hidden="false" customHeight="false" outlineLevel="0" collapsed="false">
      <c r="A431" s="0" t="s">
        <v>595</v>
      </c>
      <c r="B431" s="2" t="n">
        <v>45978</v>
      </c>
      <c r="C431" s="3" t="s">
        <v>36</v>
      </c>
      <c r="D431" s="3" t="s">
        <v>45</v>
      </c>
      <c r="E431" s="3" t="s">
        <v>69</v>
      </c>
      <c r="F431" s="0" t="n">
        <v>3</v>
      </c>
      <c r="G431" s="0" t="n">
        <v>30</v>
      </c>
      <c r="H431" s="0" t="n">
        <v>5</v>
      </c>
      <c r="I431" s="3" t="s">
        <v>239</v>
      </c>
      <c r="J431" s="0" t="n">
        <v>4</v>
      </c>
      <c r="K431" s="3" t="s">
        <v>26</v>
      </c>
      <c r="L431" s="0" t="str">
        <f aca="false">VLOOKUP(D431,Products!$A$2:$D$13,2,FALSE())</f>
        <v>Stationery</v>
      </c>
      <c r="M431" s="3" t="n">
        <f aca="false">F431*G431*(1-H431/100)</f>
        <v>85.5</v>
      </c>
      <c r="N431" s="0" t="str">
        <f aca="false">VLOOKUP(I431,Customers!$A$2:$D$121,3,FALSE())</f>
        <v>Lucknow</v>
      </c>
      <c r="O431" s="0" t="str">
        <f aca="false">VLOOKUP(I431,Customers!$A$2:$D$121,4,FALSE())</f>
        <v>Retail</v>
      </c>
      <c r="P431" s="0" t="str">
        <f aca="false">TEXT(B431,"yyyy-mm")</f>
        <v>2025-11</v>
      </c>
    </row>
    <row r="432" customFormat="false" ht="15" hidden="false" customHeight="false" outlineLevel="0" collapsed="false">
      <c r="A432" s="0" t="s">
        <v>596</v>
      </c>
      <c r="B432" s="2" t="n">
        <v>45985</v>
      </c>
      <c r="C432" s="3" t="s">
        <v>72</v>
      </c>
      <c r="D432" s="3" t="s">
        <v>32</v>
      </c>
      <c r="E432" s="3" t="s">
        <v>89</v>
      </c>
      <c r="F432" s="0" t="n">
        <v>1</v>
      </c>
      <c r="G432" s="0" t="n">
        <v>249</v>
      </c>
      <c r="H432" s="0" t="n">
        <v>0</v>
      </c>
      <c r="I432" s="3" t="s">
        <v>174</v>
      </c>
      <c r="J432" s="0" t="n">
        <v>2</v>
      </c>
      <c r="K432" s="3" t="s">
        <v>34</v>
      </c>
      <c r="L432" s="0" t="str">
        <f aca="false">VLOOKUP(D432,Products!$A$2:$D$13,2,FALSE())</f>
        <v>Accessories</v>
      </c>
      <c r="M432" s="3" t="n">
        <f aca="false">F432*G432*(1-H432/100)</f>
        <v>249</v>
      </c>
      <c r="N432" s="0" t="str">
        <f aca="false">VLOOKUP(I432,Customers!$A$2:$D$121,3,FALSE())</f>
        <v>Lucknow</v>
      </c>
      <c r="O432" s="0" t="str">
        <f aca="false">VLOOKUP(I432,Customers!$A$2:$D$121,4,FALSE())</f>
        <v>Student</v>
      </c>
      <c r="P432" s="0" t="str">
        <f aca="false">TEXT(B432,"yyyy-mm")</f>
        <v>2025-11</v>
      </c>
    </row>
    <row r="433" customFormat="false" ht="15" hidden="false" customHeight="false" outlineLevel="0" collapsed="false">
      <c r="A433" s="0" t="s">
        <v>597</v>
      </c>
      <c r="B433" s="2" t="n">
        <v>45768</v>
      </c>
      <c r="C433" s="3" t="s">
        <v>23</v>
      </c>
      <c r="D433" s="3" t="s">
        <v>48</v>
      </c>
      <c r="E433" s="3" t="s">
        <v>24</v>
      </c>
      <c r="F433" s="0" t="n">
        <v>3</v>
      </c>
      <c r="G433" s="0" t="n">
        <v>199</v>
      </c>
      <c r="H433" s="0" t="n">
        <v>0</v>
      </c>
      <c r="I433" s="3" t="s">
        <v>125</v>
      </c>
      <c r="J433" s="0" t="n">
        <v>5</v>
      </c>
      <c r="K433" s="3" t="s">
        <v>21</v>
      </c>
      <c r="L433" s="0" t="str">
        <f aca="false">VLOOKUP(D433,Products!$A$2:$D$13,2,FALSE())</f>
        <v>Home</v>
      </c>
      <c r="M433" s="3" t="n">
        <f aca="false">F433*G433*(1-H433/100)</f>
        <v>597</v>
      </c>
      <c r="N433" s="0" t="str">
        <f aca="false">VLOOKUP(I433,Customers!$A$2:$D$121,3,FALSE())</f>
        <v>Lucknow</v>
      </c>
      <c r="O433" s="0" t="str">
        <f aca="false">VLOOKUP(I433,Customers!$A$2:$D$121,4,FALSE())</f>
        <v>Student</v>
      </c>
      <c r="P433" s="0" t="str">
        <f aca="false">TEXT(B433,"yyyy-mm")</f>
        <v>2025-04</v>
      </c>
    </row>
    <row r="434" customFormat="false" ht="15" hidden="false" customHeight="false" outlineLevel="0" collapsed="false">
      <c r="A434" s="0" t="s">
        <v>598</v>
      </c>
      <c r="B434" s="2" t="n">
        <v>45930</v>
      </c>
      <c r="C434" s="3" t="s">
        <v>36</v>
      </c>
      <c r="D434" s="3" t="s">
        <v>48</v>
      </c>
      <c r="E434" s="3" t="s">
        <v>69</v>
      </c>
      <c r="F434" s="0" t="n">
        <v>3</v>
      </c>
      <c r="G434" s="0" t="n">
        <v>199</v>
      </c>
      <c r="H434" s="0" t="n">
        <v>5</v>
      </c>
      <c r="I434" s="3" t="s">
        <v>114</v>
      </c>
      <c r="J434" s="0" t="n">
        <v>1</v>
      </c>
      <c r="K434" s="3" t="s">
        <v>34</v>
      </c>
      <c r="L434" s="0" t="str">
        <f aca="false">VLOOKUP(D434,Products!$A$2:$D$13,2,FALSE())</f>
        <v>Home</v>
      </c>
      <c r="M434" s="3" t="n">
        <f aca="false">F434*G434*(1-H434/100)</f>
        <v>567.15</v>
      </c>
      <c r="N434" s="0" t="str">
        <f aca="false">VLOOKUP(I434,Customers!$A$2:$D$121,3,FALSE())</f>
        <v>Lucknow</v>
      </c>
      <c r="O434" s="0" t="str">
        <f aca="false">VLOOKUP(I434,Customers!$A$2:$D$121,4,FALSE())</f>
        <v>Retail</v>
      </c>
      <c r="P434" s="0" t="str">
        <f aca="false">TEXT(B434,"yyyy-mm")</f>
        <v>2025-09</v>
      </c>
    </row>
    <row r="435" customFormat="false" ht="15" hidden="false" customHeight="false" outlineLevel="0" collapsed="false">
      <c r="A435" s="0" t="s">
        <v>599</v>
      </c>
      <c r="B435" s="2" t="n">
        <v>45955</v>
      </c>
      <c r="C435" s="3" t="s">
        <v>17</v>
      </c>
      <c r="D435" s="3" t="s">
        <v>108</v>
      </c>
      <c r="E435" s="3" t="s">
        <v>19</v>
      </c>
      <c r="F435" s="0" t="n">
        <v>1</v>
      </c>
      <c r="G435" s="0" t="n">
        <v>180</v>
      </c>
      <c r="H435" s="0" t="n">
        <v>5</v>
      </c>
      <c r="I435" s="3" t="s">
        <v>30</v>
      </c>
      <c r="J435" s="0" t="n">
        <v>5</v>
      </c>
      <c r="K435" s="3" t="s">
        <v>21</v>
      </c>
      <c r="L435" s="0" t="str">
        <f aca="false">VLOOKUP(D435,Products!$A$2:$D$13,2,FALSE())</f>
        <v>Stationery</v>
      </c>
      <c r="M435" s="3" t="n">
        <f aca="false">F435*G435*(1-H435/100)</f>
        <v>171</v>
      </c>
      <c r="N435" s="0" t="str">
        <f aca="false">VLOOKUP(I435,Customers!$A$2:$D$121,3,FALSE())</f>
        <v>Chennai</v>
      </c>
      <c r="O435" s="0" t="str">
        <f aca="false">VLOOKUP(I435,Customers!$A$2:$D$121,4,FALSE())</f>
        <v>Student</v>
      </c>
      <c r="P435" s="0" t="str">
        <f aca="false">TEXT(B435,"yyyy-mm")</f>
        <v>2025-10</v>
      </c>
    </row>
    <row r="436" customFormat="false" ht="15" hidden="false" customHeight="false" outlineLevel="0" collapsed="false">
      <c r="A436" s="0" t="s">
        <v>600</v>
      </c>
      <c r="B436" s="2" t="n">
        <v>45819</v>
      </c>
      <c r="C436" s="3" t="s">
        <v>17</v>
      </c>
      <c r="D436" s="3" t="s">
        <v>32</v>
      </c>
      <c r="E436" s="3" t="s">
        <v>19</v>
      </c>
      <c r="F436" s="0" t="n">
        <v>1</v>
      </c>
      <c r="G436" s="0" t="n">
        <v>249</v>
      </c>
      <c r="H436" s="0" t="n">
        <v>0</v>
      </c>
      <c r="I436" s="3" t="s">
        <v>210</v>
      </c>
      <c r="J436" s="0" t="n">
        <v>2</v>
      </c>
      <c r="K436" s="3" t="s">
        <v>26</v>
      </c>
      <c r="L436" s="0" t="str">
        <f aca="false">VLOOKUP(D436,Products!$A$2:$D$13,2,FALSE())</f>
        <v>Accessories</v>
      </c>
      <c r="M436" s="3" t="n">
        <f aca="false">F436*G436*(1-H436/100)</f>
        <v>249</v>
      </c>
      <c r="N436" s="0" t="str">
        <f aca="false">VLOOKUP(I436,Customers!$A$2:$D$121,3,FALSE())</f>
        <v>Indore</v>
      </c>
      <c r="O436" s="0" t="str">
        <f aca="false">VLOOKUP(I436,Customers!$A$2:$D$121,4,FALSE())</f>
        <v>Student</v>
      </c>
      <c r="P436" s="0" t="str">
        <f aca="false">TEXT(B436,"yyyy-mm")</f>
        <v>2025-06</v>
      </c>
    </row>
    <row r="437" customFormat="false" ht="15" hidden="false" customHeight="false" outlineLevel="0" collapsed="false">
      <c r="A437" s="0" t="s">
        <v>601</v>
      </c>
      <c r="B437" s="2" t="n">
        <v>45938</v>
      </c>
      <c r="C437" s="3" t="s">
        <v>51</v>
      </c>
      <c r="D437" s="3" t="s">
        <v>28</v>
      </c>
      <c r="E437" s="3" t="s">
        <v>52</v>
      </c>
      <c r="F437" s="0" t="n">
        <v>8</v>
      </c>
      <c r="G437" s="0" t="n">
        <v>450</v>
      </c>
      <c r="H437" s="0" t="n">
        <v>15</v>
      </c>
      <c r="I437" s="3" t="s">
        <v>261</v>
      </c>
      <c r="J437" s="0" t="n">
        <v>5</v>
      </c>
      <c r="K437" s="3" t="s">
        <v>34</v>
      </c>
      <c r="L437" s="0" t="str">
        <f aca="false">VLOOKUP(D437,Products!$A$2:$D$13,2,FALSE())</f>
        <v>Electronics</v>
      </c>
      <c r="M437" s="3" t="n">
        <f aca="false">F437*G437*(1-H437/100)</f>
        <v>3060</v>
      </c>
      <c r="N437" s="0" t="str">
        <f aca="false">VLOOKUP(I437,Customers!$A$2:$D$121,3,FALSE())</f>
        <v>Mumbai</v>
      </c>
      <c r="O437" s="0" t="str">
        <f aca="false">VLOOKUP(I437,Customers!$A$2:$D$121,4,FALSE())</f>
        <v>Corporate</v>
      </c>
      <c r="P437" s="0" t="str">
        <f aca="false">TEXT(B437,"yyyy-mm")</f>
        <v>2025-10</v>
      </c>
    </row>
    <row r="438" customFormat="false" ht="15" hidden="false" customHeight="false" outlineLevel="0" collapsed="false">
      <c r="A438" s="0" t="s">
        <v>602</v>
      </c>
      <c r="B438" s="2" t="n">
        <v>45781</v>
      </c>
      <c r="C438" s="3" t="s">
        <v>17</v>
      </c>
      <c r="D438" s="3" t="s">
        <v>45</v>
      </c>
      <c r="E438" s="3" t="s">
        <v>19</v>
      </c>
      <c r="F438" s="0" t="n">
        <v>1</v>
      </c>
      <c r="G438" s="0" t="n">
        <v>30</v>
      </c>
      <c r="H438" s="0" t="n">
        <v>0</v>
      </c>
      <c r="I438" s="3" t="s">
        <v>94</v>
      </c>
      <c r="J438" s="0" t="n">
        <v>4</v>
      </c>
      <c r="K438" s="3" t="s">
        <v>21</v>
      </c>
      <c r="L438" s="0" t="str">
        <f aca="false">VLOOKUP(D438,Products!$A$2:$D$13,2,FALSE())</f>
        <v>Stationery</v>
      </c>
      <c r="M438" s="3" t="n">
        <f aca="false">F438*G438*(1-H438/100)</f>
        <v>30</v>
      </c>
      <c r="N438" s="0" t="str">
        <f aca="false">VLOOKUP(I438,Customers!$A$2:$D$121,3,FALSE())</f>
        <v>Chennai</v>
      </c>
      <c r="O438" s="0" t="str">
        <f aca="false">VLOOKUP(I438,Customers!$A$2:$D$121,4,FALSE())</f>
        <v>Corporate</v>
      </c>
      <c r="P438" s="0" t="str">
        <f aca="false">TEXT(B438,"yyyy-mm")</f>
        <v>2025-05</v>
      </c>
    </row>
    <row r="439" customFormat="false" ht="15" hidden="false" customHeight="false" outlineLevel="0" collapsed="false">
      <c r="A439" s="0" t="s">
        <v>603</v>
      </c>
      <c r="B439" s="2" t="n">
        <v>45769</v>
      </c>
      <c r="C439" s="3" t="s">
        <v>17</v>
      </c>
      <c r="D439" s="3" t="s">
        <v>41</v>
      </c>
      <c r="E439" s="3" t="s">
        <v>93</v>
      </c>
      <c r="F439" s="0" t="n">
        <v>1</v>
      </c>
      <c r="G439" s="0" t="n">
        <v>399</v>
      </c>
      <c r="H439" s="0" t="n">
        <v>5</v>
      </c>
      <c r="I439" s="3" t="s">
        <v>100</v>
      </c>
      <c r="J439" s="0" t="n">
        <v>3</v>
      </c>
      <c r="K439" s="3" t="s">
        <v>43</v>
      </c>
      <c r="L439" s="0" t="str">
        <f aca="false">VLOOKUP(D439,Products!$A$2:$D$13,2,FALSE())</f>
        <v>Electronics</v>
      </c>
      <c r="M439" s="3" t="n">
        <f aca="false">F439*G439*(1-H439/100)</f>
        <v>379.05</v>
      </c>
      <c r="N439" s="0" t="str">
        <f aca="false">VLOOKUP(I439,Customers!$A$2:$D$121,3,FALSE())</f>
        <v>Nagpur</v>
      </c>
      <c r="O439" s="0" t="str">
        <f aca="false">VLOOKUP(I439,Customers!$A$2:$D$121,4,FALSE())</f>
        <v>Retail</v>
      </c>
      <c r="P439" s="0" t="str">
        <f aca="false">TEXT(B439,"yyyy-mm")</f>
        <v>2025-04</v>
      </c>
    </row>
    <row r="440" customFormat="false" ht="15" hidden="false" customHeight="false" outlineLevel="0" collapsed="false">
      <c r="A440" s="0" t="s">
        <v>604</v>
      </c>
      <c r="B440" s="2" t="n">
        <v>45943</v>
      </c>
      <c r="C440" s="3" t="s">
        <v>17</v>
      </c>
      <c r="D440" s="3" t="s">
        <v>32</v>
      </c>
      <c r="E440" s="3" t="s">
        <v>19</v>
      </c>
      <c r="F440" s="0" t="n">
        <v>3</v>
      </c>
      <c r="G440" s="0" t="n">
        <v>249</v>
      </c>
      <c r="H440" s="0" t="n">
        <v>15</v>
      </c>
      <c r="I440" s="3" t="s">
        <v>25</v>
      </c>
      <c r="J440" s="0" t="n">
        <v>3</v>
      </c>
      <c r="K440" s="3" t="s">
        <v>26</v>
      </c>
      <c r="L440" s="0" t="str">
        <f aca="false">VLOOKUP(D440,Products!$A$2:$D$13,2,FALSE())</f>
        <v>Accessories</v>
      </c>
      <c r="M440" s="3" t="n">
        <f aca="false">F440*G440*(1-H440/100)</f>
        <v>634.95</v>
      </c>
      <c r="N440" s="0" t="str">
        <f aca="false">VLOOKUP(I440,Customers!$A$2:$D$121,3,FALSE())</f>
        <v>Indore</v>
      </c>
      <c r="O440" s="0" t="str">
        <f aca="false">VLOOKUP(I440,Customers!$A$2:$D$121,4,FALSE())</f>
        <v>Corporate</v>
      </c>
      <c r="P440" s="0" t="str">
        <f aca="false">TEXT(B440,"yyyy-mm")</f>
        <v>2025-10</v>
      </c>
    </row>
    <row r="441" customFormat="false" ht="15" hidden="false" customHeight="false" outlineLevel="0" collapsed="false">
      <c r="A441" s="0" t="s">
        <v>605</v>
      </c>
      <c r="B441" s="2" t="n">
        <v>45976</v>
      </c>
      <c r="C441" s="3" t="s">
        <v>72</v>
      </c>
      <c r="D441" s="3" t="s">
        <v>37</v>
      </c>
      <c r="E441" s="3" t="s">
        <v>89</v>
      </c>
      <c r="F441" s="0" t="n">
        <v>5</v>
      </c>
      <c r="G441" s="0" t="n">
        <v>500</v>
      </c>
      <c r="H441" s="0" t="n">
        <v>0</v>
      </c>
      <c r="I441" s="3" t="s">
        <v>145</v>
      </c>
      <c r="J441" s="0" t="n">
        <v>4</v>
      </c>
      <c r="K441" s="3" t="s">
        <v>34</v>
      </c>
      <c r="L441" s="0" t="str">
        <f aca="false">VLOOKUP(D441,Products!$A$2:$D$13,2,FALSE())</f>
        <v>Electronics</v>
      </c>
      <c r="M441" s="3" t="n">
        <f aca="false">F441*G441*(1-H441/100)</f>
        <v>2500</v>
      </c>
      <c r="N441" s="0" t="str">
        <f aca="false">VLOOKUP(I441,Customers!$A$2:$D$121,3,FALSE())</f>
        <v>Bhopal</v>
      </c>
      <c r="O441" s="0" t="str">
        <f aca="false">VLOOKUP(I441,Customers!$A$2:$D$121,4,FALSE())</f>
        <v>Student</v>
      </c>
      <c r="P441" s="0" t="str">
        <f aca="false">TEXT(B441,"yyyy-mm")</f>
        <v>2025-11</v>
      </c>
    </row>
    <row r="442" customFormat="false" ht="15" hidden="false" customHeight="false" outlineLevel="0" collapsed="false">
      <c r="A442" s="0" t="s">
        <v>606</v>
      </c>
      <c r="B442" s="2" t="n">
        <v>46029</v>
      </c>
      <c r="C442" s="3" t="s">
        <v>51</v>
      </c>
      <c r="D442" s="3" t="s">
        <v>32</v>
      </c>
      <c r="E442" s="3" t="s">
        <v>83</v>
      </c>
      <c r="F442" s="0" t="n">
        <v>8</v>
      </c>
      <c r="G442" s="0" t="n">
        <v>249</v>
      </c>
      <c r="H442" s="0" t="n">
        <v>5</v>
      </c>
      <c r="I442" s="3" t="s">
        <v>313</v>
      </c>
      <c r="J442" s="0" t="n">
        <v>2</v>
      </c>
      <c r="K442" s="3" t="s">
        <v>26</v>
      </c>
      <c r="L442" s="0" t="str">
        <f aca="false">VLOOKUP(D442,Products!$A$2:$D$13,2,FALSE())</f>
        <v>Accessories</v>
      </c>
      <c r="M442" s="3" t="n">
        <f aca="false">F442*G442*(1-H442/100)</f>
        <v>1892.4</v>
      </c>
      <c r="N442" s="0" t="str">
        <f aca="false">VLOOKUP(I442,Customers!$A$2:$D$121,3,FALSE())</f>
        <v>Kolkata</v>
      </c>
      <c r="O442" s="0" t="str">
        <f aca="false">VLOOKUP(I442,Customers!$A$2:$D$121,4,FALSE())</f>
        <v>Student</v>
      </c>
      <c r="P442" s="0" t="str">
        <f aca="false">TEXT(B442,"yyyy-mm")</f>
        <v>2026-01</v>
      </c>
    </row>
    <row r="443" customFormat="false" ht="15" hidden="false" customHeight="false" outlineLevel="0" collapsed="false">
      <c r="A443" s="0" t="s">
        <v>607</v>
      </c>
      <c r="B443" s="2" t="n">
        <v>46077</v>
      </c>
      <c r="C443" s="3" t="s">
        <v>36</v>
      </c>
      <c r="D443" s="3" t="s">
        <v>88</v>
      </c>
      <c r="E443" s="3" t="s">
        <v>38</v>
      </c>
      <c r="F443" s="0" t="n">
        <v>3</v>
      </c>
      <c r="G443" s="0" t="n">
        <v>799</v>
      </c>
      <c r="H443" s="0" t="n">
        <v>10</v>
      </c>
      <c r="I443" s="3" t="s">
        <v>104</v>
      </c>
      <c r="J443" s="0" t="n">
        <v>4</v>
      </c>
      <c r="K443" s="3" t="s">
        <v>43</v>
      </c>
      <c r="L443" s="0" t="str">
        <f aca="false">VLOOKUP(D443,Products!$A$2:$D$13,2,FALSE())</f>
        <v>Accessories</v>
      </c>
      <c r="M443" s="3" t="n">
        <f aca="false">F443*G443*(1-H443/100)</f>
        <v>2157.3</v>
      </c>
      <c r="N443" s="0" t="str">
        <f aca="false">VLOOKUP(I443,Customers!$A$2:$D$121,3,FALSE())</f>
        <v>Lucknow</v>
      </c>
      <c r="O443" s="0" t="str">
        <f aca="false">VLOOKUP(I443,Customers!$A$2:$D$121,4,FALSE())</f>
        <v>Student</v>
      </c>
      <c r="P443" s="0" t="str">
        <f aca="false">TEXT(B443,"yyyy-mm")</f>
        <v>2026-02</v>
      </c>
    </row>
    <row r="444" customFormat="false" ht="15" hidden="false" customHeight="false" outlineLevel="0" collapsed="false">
      <c r="A444" s="0" t="s">
        <v>608</v>
      </c>
      <c r="B444" s="2" t="n">
        <v>45993</v>
      </c>
      <c r="C444" s="3" t="s">
        <v>72</v>
      </c>
      <c r="D444" s="3" t="s">
        <v>48</v>
      </c>
      <c r="E444" s="3" t="s">
        <v>73</v>
      </c>
      <c r="F444" s="0" t="n">
        <v>1</v>
      </c>
      <c r="G444" s="0" t="n">
        <v>199</v>
      </c>
      <c r="H444" s="0" t="n">
        <v>10</v>
      </c>
      <c r="I444" s="3" t="s">
        <v>139</v>
      </c>
      <c r="J444" s="0" t="n">
        <v>4</v>
      </c>
      <c r="K444" s="3" t="s">
        <v>43</v>
      </c>
      <c r="L444" s="0" t="str">
        <f aca="false">VLOOKUP(D444,Products!$A$2:$D$13,2,FALSE())</f>
        <v>Home</v>
      </c>
      <c r="M444" s="3" t="n">
        <f aca="false">F444*G444*(1-H444/100)</f>
        <v>179.1</v>
      </c>
      <c r="N444" s="0" t="str">
        <f aca="false">VLOOKUP(I444,Customers!$A$2:$D$121,3,FALSE())</f>
        <v>Mumbai</v>
      </c>
      <c r="O444" s="0" t="str">
        <f aca="false">VLOOKUP(I444,Customers!$A$2:$D$121,4,FALSE())</f>
        <v>Student</v>
      </c>
      <c r="P444" s="0" t="str">
        <f aca="false">TEXT(B444,"yyyy-mm")</f>
        <v>2025-12</v>
      </c>
    </row>
    <row r="445" customFormat="false" ht="15" hidden="false" customHeight="false" outlineLevel="0" collapsed="false">
      <c r="A445" s="0" t="s">
        <v>609</v>
      </c>
      <c r="B445" s="2" t="n">
        <v>45761</v>
      </c>
      <c r="C445" s="3" t="s">
        <v>36</v>
      </c>
      <c r="D445" s="3" t="s">
        <v>37</v>
      </c>
      <c r="E445" s="3" t="s">
        <v>69</v>
      </c>
      <c r="F445" s="0" t="n">
        <v>1</v>
      </c>
      <c r="G445" s="0" t="n">
        <v>500</v>
      </c>
      <c r="H445" s="0" t="n">
        <v>0</v>
      </c>
      <c r="I445" s="3" t="s">
        <v>70</v>
      </c>
      <c r="J445" s="0" t="n">
        <v>3</v>
      </c>
      <c r="K445" s="3" t="s">
        <v>21</v>
      </c>
      <c r="L445" s="0" t="str">
        <f aca="false">VLOOKUP(D445,Products!$A$2:$D$13,2,FALSE())</f>
        <v>Electronics</v>
      </c>
      <c r="M445" s="3" t="n">
        <f aca="false">F445*G445*(1-H445/100)</f>
        <v>500</v>
      </c>
      <c r="N445" s="0" t="str">
        <f aca="false">VLOOKUP(I445,Customers!$A$2:$D$121,3,FALSE())</f>
        <v>Bhopal</v>
      </c>
      <c r="O445" s="0" t="str">
        <f aca="false">VLOOKUP(I445,Customers!$A$2:$D$121,4,FALSE())</f>
        <v>Retail</v>
      </c>
      <c r="P445" s="0" t="str">
        <f aca="false">TEXT(B445,"yyyy-mm")</f>
        <v>2025-04</v>
      </c>
    </row>
    <row r="446" customFormat="false" ht="15" hidden="false" customHeight="false" outlineLevel="0" collapsed="false">
      <c r="A446" s="0" t="s">
        <v>610</v>
      </c>
      <c r="B446" s="2" t="n">
        <v>45931</v>
      </c>
      <c r="C446" s="3" t="s">
        <v>23</v>
      </c>
      <c r="D446" s="3" t="s">
        <v>32</v>
      </c>
      <c r="E446" s="3" t="s">
        <v>24</v>
      </c>
      <c r="F446" s="0" t="n">
        <v>3</v>
      </c>
      <c r="G446" s="0" t="n">
        <v>249</v>
      </c>
      <c r="H446" s="0" t="n">
        <v>10</v>
      </c>
      <c r="I446" s="3" t="s">
        <v>49</v>
      </c>
      <c r="J446" s="0" t="n">
        <v>5</v>
      </c>
      <c r="K446" s="3" t="s">
        <v>26</v>
      </c>
      <c r="L446" s="0" t="str">
        <f aca="false">VLOOKUP(D446,Products!$A$2:$D$13,2,FALSE())</f>
        <v>Accessories</v>
      </c>
      <c r="M446" s="3" t="n">
        <f aca="false">F446*G446*(1-H446/100)</f>
        <v>672.3</v>
      </c>
      <c r="N446" s="0" t="str">
        <f aca="false">VLOOKUP(I446,Customers!$A$2:$D$121,3,FALSE())</f>
        <v>Indore</v>
      </c>
      <c r="O446" s="0" t="str">
        <f aca="false">VLOOKUP(I446,Customers!$A$2:$D$121,4,FALSE())</f>
        <v>Student</v>
      </c>
      <c r="P446" s="0" t="str">
        <f aca="false">TEXT(B446,"yyyy-mm")</f>
        <v>2025-10</v>
      </c>
    </row>
    <row r="447" customFormat="false" ht="15" hidden="false" customHeight="false" outlineLevel="0" collapsed="false">
      <c r="A447" s="0" t="s">
        <v>611</v>
      </c>
      <c r="B447" s="2" t="n">
        <v>45884</v>
      </c>
      <c r="C447" s="3" t="s">
        <v>36</v>
      </c>
      <c r="D447" s="3" t="s">
        <v>18</v>
      </c>
      <c r="E447" s="3" t="s">
        <v>38</v>
      </c>
      <c r="F447" s="0" t="n">
        <v>2</v>
      </c>
      <c r="G447" s="0" t="n">
        <v>349</v>
      </c>
      <c r="H447" s="0" t="n">
        <v>10</v>
      </c>
      <c r="I447" s="3" t="s">
        <v>373</v>
      </c>
      <c r="J447" s="0" t="n">
        <v>5</v>
      </c>
      <c r="K447" s="3" t="s">
        <v>26</v>
      </c>
      <c r="L447" s="0" t="str">
        <f aca="false">VLOOKUP(D447,Products!$A$2:$D$13,2,FALSE())</f>
        <v>Home</v>
      </c>
      <c r="M447" s="3" t="n">
        <f aca="false">F447*G447*(1-H447/100)</f>
        <v>628.2</v>
      </c>
      <c r="N447" s="0" t="str">
        <f aca="false">VLOOKUP(I447,Customers!$A$2:$D$121,3,FALSE())</f>
        <v>Bhopal</v>
      </c>
      <c r="O447" s="0" t="str">
        <f aca="false">VLOOKUP(I447,Customers!$A$2:$D$121,4,FALSE())</f>
        <v>Corporate</v>
      </c>
      <c r="P447" s="0" t="str">
        <f aca="false">TEXT(B447,"yyyy-mm")</f>
        <v>2025-08</v>
      </c>
    </row>
    <row r="448" customFormat="false" ht="15" hidden="false" customHeight="false" outlineLevel="0" collapsed="false">
      <c r="A448" s="0" t="s">
        <v>612</v>
      </c>
      <c r="B448" s="2" t="n">
        <v>45929</v>
      </c>
      <c r="C448" s="3" t="s">
        <v>51</v>
      </c>
      <c r="D448" s="3" t="s">
        <v>116</v>
      </c>
      <c r="E448" s="3" t="s">
        <v>83</v>
      </c>
      <c r="F448" s="0" t="n">
        <v>1</v>
      </c>
      <c r="G448" s="0" t="n">
        <v>699</v>
      </c>
      <c r="H448" s="0" t="n">
        <v>0</v>
      </c>
      <c r="I448" s="3" t="s">
        <v>221</v>
      </c>
      <c r="J448" s="0" t="n">
        <v>3</v>
      </c>
      <c r="K448" s="3" t="s">
        <v>34</v>
      </c>
      <c r="L448" s="0" t="str">
        <f aca="false">VLOOKUP(D448,Products!$A$2:$D$13,2,FALSE())</f>
        <v>Home</v>
      </c>
      <c r="M448" s="3" t="n">
        <f aca="false">F448*G448*(1-H448/100)</f>
        <v>699</v>
      </c>
      <c r="N448" s="0" t="str">
        <f aca="false">VLOOKUP(I448,Customers!$A$2:$D$121,3,FALSE())</f>
        <v>Mumbai</v>
      </c>
      <c r="O448" s="0" t="str">
        <f aca="false">VLOOKUP(I448,Customers!$A$2:$D$121,4,FALSE())</f>
        <v>Retail</v>
      </c>
      <c r="P448" s="0" t="str">
        <f aca="false">TEXT(B448,"yyyy-mm")</f>
        <v>2025-09</v>
      </c>
    </row>
    <row r="449" customFormat="false" ht="15" hidden="false" customHeight="false" outlineLevel="0" collapsed="false">
      <c r="A449" s="0" t="s">
        <v>613</v>
      </c>
      <c r="B449" s="2" t="n">
        <v>46108</v>
      </c>
      <c r="C449" s="3" t="s">
        <v>17</v>
      </c>
      <c r="D449" s="3" t="s">
        <v>116</v>
      </c>
      <c r="E449" s="3" t="s">
        <v>19</v>
      </c>
      <c r="F449" s="0" t="n">
        <v>4</v>
      </c>
      <c r="G449" s="0" t="n">
        <v>699</v>
      </c>
      <c r="H449" s="0" t="n">
        <v>15</v>
      </c>
      <c r="I449" s="3" t="s">
        <v>135</v>
      </c>
      <c r="J449" s="0" t="n">
        <v>5</v>
      </c>
      <c r="K449" s="3" t="s">
        <v>26</v>
      </c>
      <c r="L449" s="0" t="str">
        <f aca="false">VLOOKUP(D449,Products!$A$2:$D$13,2,FALSE())</f>
        <v>Home</v>
      </c>
      <c r="M449" s="3" t="n">
        <f aca="false">F449*G449*(1-H449/100)</f>
        <v>2376.6</v>
      </c>
      <c r="N449" s="0" t="str">
        <f aca="false">VLOOKUP(I449,Customers!$A$2:$D$121,3,FALSE())</f>
        <v>Jaipur</v>
      </c>
      <c r="O449" s="0" t="str">
        <f aca="false">VLOOKUP(I449,Customers!$A$2:$D$121,4,FALSE())</f>
        <v>Corporate</v>
      </c>
      <c r="P449" s="0" t="str">
        <f aca="false">TEXT(B449,"yyyy-mm")</f>
        <v>2026-03</v>
      </c>
    </row>
    <row r="450" customFormat="false" ht="15" hidden="false" customHeight="false" outlineLevel="0" collapsed="false">
      <c r="A450" s="0" t="s">
        <v>614</v>
      </c>
      <c r="B450" s="2" t="n">
        <v>45906</v>
      </c>
      <c r="C450" s="3" t="s">
        <v>23</v>
      </c>
      <c r="D450" s="3" t="s">
        <v>32</v>
      </c>
      <c r="E450" s="3" t="s">
        <v>24</v>
      </c>
      <c r="F450" s="0" t="n">
        <v>1</v>
      </c>
      <c r="G450" s="0" t="n">
        <v>249</v>
      </c>
      <c r="H450" s="0" t="n">
        <v>0</v>
      </c>
      <c r="I450" s="3" t="s">
        <v>96</v>
      </c>
      <c r="J450" s="0" t="n">
        <v>1</v>
      </c>
      <c r="K450" s="3" t="s">
        <v>26</v>
      </c>
      <c r="L450" s="0" t="str">
        <f aca="false">VLOOKUP(D450,Products!$A$2:$D$13,2,FALSE())</f>
        <v>Accessories</v>
      </c>
      <c r="M450" s="3" t="n">
        <f aca="false">F450*G450*(1-H450/100)</f>
        <v>249</v>
      </c>
      <c r="N450" s="0" t="str">
        <f aca="false">VLOOKUP(I450,Customers!$A$2:$D$121,3,FALSE())</f>
        <v>Delhi</v>
      </c>
      <c r="O450" s="0" t="str">
        <f aca="false">VLOOKUP(I450,Customers!$A$2:$D$121,4,FALSE())</f>
        <v>Retail</v>
      </c>
      <c r="P450" s="0" t="str">
        <f aca="false">TEXT(B450,"yyyy-mm")</f>
        <v>2025-09</v>
      </c>
    </row>
    <row r="451" customFormat="false" ht="15" hidden="false" customHeight="false" outlineLevel="0" collapsed="false">
      <c r="A451" s="0" t="s">
        <v>615</v>
      </c>
      <c r="B451" s="2" t="n">
        <v>45758</v>
      </c>
      <c r="C451" s="3" t="s">
        <v>36</v>
      </c>
      <c r="D451" s="3" t="s">
        <v>116</v>
      </c>
      <c r="E451" s="3" t="s">
        <v>38</v>
      </c>
      <c r="F451" s="0" t="n">
        <v>2</v>
      </c>
      <c r="G451" s="0" t="n">
        <v>699</v>
      </c>
      <c r="H451" s="0" t="n">
        <v>10</v>
      </c>
      <c r="I451" s="3" t="s">
        <v>213</v>
      </c>
      <c r="J451" s="0" t="n">
        <v>1</v>
      </c>
      <c r="K451" s="3" t="s">
        <v>26</v>
      </c>
      <c r="L451" s="0" t="str">
        <f aca="false">VLOOKUP(D451,Products!$A$2:$D$13,2,FALSE())</f>
        <v>Home</v>
      </c>
      <c r="M451" s="3" t="n">
        <f aca="false">F451*G451*(1-H451/100)</f>
        <v>1258.2</v>
      </c>
      <c r="N451" s="0" t="str">
        <f aca="false">VLOOKUP(I451,Customers!$A$2:$D$121,3,FALSE())</f>
        <v>Chennai</v>
      </c>
      <c r="O451" s="0" t="str">
        <f aca="false">VLOOKUP(I451,Customers!$A$2:$D$121,4,FALSE())</f>
        <v>Corporate</v>
      </c>
      <c r="P451" s="0" t="str">
        <f aca="false">TEXT(B451,"yyyy-mm")</f>
        <v>2025-04</v>
      </c>
    </row>
    <row r="452" customFormat="false" ht="15" hidden="false" customHeight="false" outlineLevel="0" collapsed="false">
      <c r="A452" s="0" t="s">
        <v>616</v>
      </c>
      <c r="B452" s="2" t="n">
        <v>45913</v>
      </c>
      <c r="C452" s="3" t="s">
        <v>36</v>
      </c>
      <c r="D452" s="3" t="s">
        <v>41</v>
      </c>
      <c r="E452" s="3" t="s">
        <v>38</v>
      </c>
      <c r="F452" s="0" t="n">
        <v>1</v>
      </c>
      <c r="G452" s="0" t="n">
        <v>399</v>
      </c>
      <c r="H452" s="0" t="n">
        <v>0</v>
      </c>
      <c r="I452" s="3" t="s">
        <v>172</v>
      </c>
      <c r="J452" s="0" t="n">
        <v>3</v>
      </c>
      <c r="K452" s="3" t="s">
        <v>21</v>
      </c>
      <c r="L452" s="0" t="str">
        <f aca="false">VLOOKUP(D452,Products!$A$2:$D$13,2,FALSE())</f>
        <v>Electronics</v>
      </c>
      <c r="M452" s="3" t="n">
        <f aca="false">F452*G452*(1-H452/100)</f>
        <v>399</v>
      </c>
      <c r="N452" s="0" t="str">
        <f aca="false">VLOOKUP(I452,Customers!$A$2:$D$121,3,FALSE())</f>
        <v>Delhi</v>
      </c>
      <c r="O452" s="0" t="str">
        <f aca="false">VLOOKUP(I452,Customers!$A$2:$D$121,4,FALSE())</f>
        <v>Retail</v>
      </c>
      <c r="P452" s="0" t="str">
        <f aca="false">TEXT(B452,"yyyy-mm")</f>
        <v>2025-09</v>
      </c>
    </row>
    <row r="453" customFormat="false" ht="15" hidden="false" customHeight="false" outlineLevel="0" collapsed="false">
      <c r="A453" s="0" t="s">
        <v>617</v>
      </c>
      <c r="B453" s="2" t="n">
        <v>45785</v>
      </c>
      <c r="C453" s="3" t="s">
        <v>72</v>
      </c>
      <c r="D453" s="3" t="s">
        <v>57</v>
      </c>
      <c r="E453" s="3" t="s">
        <v>73</v>
      </c>
      <c r="F453" s="0" t="n">
        <v>2</v>
      </c>
      <c r="G453" s="0" t="n">
        <v>549</v>
      </c>
      <c r="H453" s="0" t="n">
        <v>0</v>
      </c>
      <c r="I453" s="3" t="s">
        <v>346</v>
      </c>
      <c r="J453" s="0" t="n">
        <v>5</v>
      </c>
      <c r="K453" s="3" t="s">
        <v>21</v>
      </c>
      <c r="L453" s="0" t="str">
        <f aca="false">VLOOKUP(D453,Products!$A$2:$D$13,2,FALSE())</f>
        <v>Accessories</v>
      </c>
      <c r="M453" s="3" t="n">
        <f aca="false">F453*G453*(1-H453/100)</f>
        <v>1098</v>
      </c>
      <c r="N453" s="0" t="str">
        <f aca="false">VLOOKUP(I453,Customers!$A$2:$D$121,3,FALSE())</f>
        <v>Delhi</v>
      </c>
      <c r="O453" s="0" t="str">
        <f aca="false">VLOOKUP(I453,Customers!$A$2:$D$121,4,FALSE())</f>
        <v>Student</v>
      </c>
      <c r="P453" s="0" t="str">
        <f aca="false">TEXT(B453,"yyyy-mm")</f>
        <v>2025-05</v>
      </c>
    </row>
    <row r="454" customFormat="false" ht="15" hidden="false" customHeight="false" outlineLevel="0" collapsed="false">
      <c r="A454" s="0" t="s">
        <v>618</v>
      </c>
      <c r="B454" s="2" t="n">
        <v>45913</v>
      </c>
      <c r="C454" s="3" t="s">
        <v>72</v>
      </c>
      <c r="D454" s="3" t="s">
        <v>41</v>
      </c>
      <c r="E454" s="3" t="s">
        <v>73</v>
      </c>
      <c r="F454" s="0" t="n">
        <v>1</v>
      </c>
      <c r="G454" s="0" t="n">
        <v>399</v>
      </c>
      <c r="H454" s="0" t="n">
        <v>0</v>
      </c>
      <c r="I454" s="3" t="s">
        <v>359</v>
      </c>
      <c r="J454" s="0" t="n">
        <v>5</v>
      </c>
      <c r="K454" s="3" t="s">
        <v>43</v>
      </c>
      <c r="L454" s="0" t="str">
        <f aca="false">VLOOKUP(D454,Products!$A$2:$D$13,2,FALSE())</f>
        <v>Electronics</v>
      </c>
      <c r="M454" s="3" t="n">
        <f aca="false">F454*G454*(1-H454/100)</f>
        <v>399</v>
      </c>
      <c r="N454" s="0" t="str">
        <f aca="false">VLOOKUP(I454,Customers!$A$2:$D$121,3,FALSE())</f>
        <v>Mumbai</v>
      </c>
      <c r="O454" s="0" t="str">
        <f aca="false">VLOOKUP(I454,Customers!$A$2:$D$121,4,FALSE())</f>
        <v>Retail</v>
      </c>
      <c r="P454" s="0" t="str">
        <f aca="false">TEXT(B454,"yyyy-mm")</f>
        <v>2025-09</v>
      </c>
    </row>
    <row r="455" customFormat="false" ht="15" hidden="false" customHeight="false" outlineLevel="0" collapsed="false">
      <c r="A455" s="0" t="s">
        <v>619</v>
      </c>
      <c r="B455" s="2" t="n">
        <v>45837</v>
      </c>
      <c r="C455" s="3" t="s">
        <v>72</v>
      </c>
      <c r="D455" s="3" t="s">
        <v>18</v>
      </c>
      <c r="E455" s="3" t="s">
        <v>73</v>
      </c>
      <c r="F455" s="0" t="n">
        <v>1</v>
      </c>
      <c r="G455" s="0" t="n">
        <v>349</v>
      </c>
      <c r="H455" s="0" t="n">
        <v>15</v>
      </c>
      <c r="I455" s="3" t="s">
        <v>30</v>
      </c>
      <c r="J455" s="0" t="n">
        <v>4</v>
      </c>
      <c r="K455" s="3" t="s">
        <v>26</v>
      </c>
      <c r="L455" s="0" t="str">
        <f aca="false">VLOOKUP(D455,Products!$A$2:$D$13,2,FALSE())</f>
        <v>Home</v>
      </c>
      <c r="M455" s="3" t="n">
        <f aca="false">F455*G455*(1-H455/100)</f>
        <v>296.65</v>
      </c>
      <c r="N455" s="0" t="str">
        <f aca="false">VLOOKUP(I455,Customers!$A$2:$D$121,3,FALSE())</f>
        <v>Chennai</v>
      </c>
      <c r="O455" s="0" t="str">
        <f aca="false">VLOOKUP(I455,Customers!$A$2:$D$121,4,FALSE())</f>
        <v>Student</v>
      </c>
      <c r="P455" s="0" t="str">
        <f aca="false">TEXT(B455,"yyyy-mm")</f>
        <v>2025-06</v>
      </c>
    </row>
    <row r="456" customFormat="false" ht="15" hidden="false" customHeight="false" outlineLevel="0" collapsed="false">
      <c r="A456" s="0" t="s">
        <v>620</v>
      </c>
      <c r="B456" s="2" t="n">
        <v>45837</v>
      </c>
      <c r="C456" s="3" t="s">
        <v>23</v>
      </c>
      <c r="D456" s="3" t="s">
        <v>18</v>
      </c>
      <c r="E456" s="3" t="s">
        <v>29</v>
      </c>
      <c r="F456" s="0" t="n">
        <v>1</v>
      </c>
      <c r="G456" s="0" t="n">
        <v>349</v>
      </c>
      <c r="H456" s="0" t="n">
        <v>5</v>
      </c>
      <c r="I456" s="3" t="s">
        <v>351</v>
      </c>
      <c r="J456" s="0" t="n">
        <v>5</v>
      </c>
      <c r="K456" s="3" t="s">
        <v>26</v>
      </c>
      <c r="L456" s="0" t="str">
        <f aca="false">VLOOKUP(D456,Products!$A$2:$D$13,2,FALSE())</f>
        <v>Home</v>
      </c>
      <c r="M456" s="3" t="n">
        <f aca="false">F456*G456*(1-H456/100)</f>
        <v>331.55</v>
      </c>
      <c r="N456" s="0" t="str">
        <f aca="false">VLOOKUP(I456,Customers!$A$2:$D$121,3,FALSE())</f>
        <v>Nagpur</v>
      </c>
      <c r="O456" s="0" t="str">
        <f aca="false">VLOOKUP(I456,Customers!$A$2:$D$121,4,FALSE())</f>
        <v>Student</v>
      </c>
      <c r="P456" s="0" t="str">
        <f aca="false">TEXT(B456,"yyyy-mm")</f>
        <v>2025-06</v>
      </c>
    </row>
    <row r="457" customFormat="false" ht="15" hidden="false" customHeight="false" outlineLevel="0" collapsed="false">
      <c r="A457" s="0" t="s">
        <v>621</v>
      </c>
      <c r="B457" s="2" t="n">
        <v>46107</v>
      </c>
      <c r="C457" s="3" t="s">
        <v>17</v>
      </c>
      <c r="D457" s="3" t="s">
        <v>108</v>
      </c>
      <c r="E457" s="3" t="s">
        <v>19</v>
      </c>
      <c r="F457" s="0" t="n">
        <v>2</v>
      </c>
      <c r="G457" s="0" t="n">
        <v>180</v>
      </c>
      <c r="H457" s="0" t="n">
        <v>10</v>
      </c>
      <c r="I457" s="3" t="s">
        <v>120</v>
      </c>
      <c r="J457" s="0" t="n">
        <v>5</v>
      </c>
      <c r="K457" s="3" t="s">
        <v>26</v>
      </c>
      <c r="L457" s="0" t="str">
        <f aca="false">VLOOKUP(D457,Products!$A$2:$D$13,2,FALSE())</f>
        <v>Stationery</v>
      </c>
      <c r="M457" s="3" t="n">
        <f aca="false">F457*G457*(1-H457/100)</f>
        <v>324</v>
      </c>
      <c r="N457" s="0" t="str">
        <f aca="false">VLOOKUP(I457,Customers!$A$2:$D$121,3,FALSE())</f>
        <v>Bhopal</v>
      </c>
      <c r="O457" s="0" t="str">
        <f aca="false">VLOOKUP(I457,Customers!$A$2:$D$121,4,FALSE())</f>
        <v>Retail</v>
      </c>
      <c r="P457" s="0" t="str">
        <f aca="false">TEXT(B457,"yyyy-mm")</f>
        <v>2026-03</v>
      </c>
    </row>
    <row r="458" customFormat="false" ht="15" hidden="false" customHeight="false" outlineLevel="0" collapsed="false">
      <c r="A458" s="0" t="s">
        <v>622</v>
      </c>
      <c r="B458" s="2" t="n">
        <v>46061</v>
      </c>
      <c r="C458" s="3" t="s">
        <v>72</v>
      </c>
      <c r="D458" s="3" t="s">
        <v>116</v>
      </c>
      <c r="E458" s="3" t="s">
        <v>73</v>
      </c>
      <c r="F458" s="0" t="n">
        <v>3</v>
      </c>
      <c r="G458" s="0" t="n">
        <v>699</v>
      </c>
      <c r="H458" s="0" t="n">
        <v>0</v>
      </c>
      <c r="I458" s="3" t="s">
        <v>53</v>
      </c>
      <c r="J458" s="0" t="n">
        <v>4</v>
      </c>
      <c r="K458" s="3" t="s">
        <v>26</v>
      </c>
      <c r="L458" s="0" t="str">
        <f aca="false">VLOOKUP(D458,Products!$A$2:$D$13,2,FALSE())</f>
        <v>Home</v>
      </c>
      <c r="M458" s="3" t="n">
        <f aca="false">F458*G458*(1-H458/100)</f>
        <v>2097</v>
      </c>
      <c r="N458" s="0" t="str">
        <f aca="false">VLOOKUP(I458,Customers!$A$2:$D$121,3,FALSE())</f>
        <v>Nagpur</v>
      </c>
      <c r="O458" s="0" t="str">
        <f aca="false">VLOOKUP(I458,Customers!$A$2:$D$121,4,FALSE())</f>
        <v>Retail</v>
      </c>
      <c r="P458" s="0" t="str">
        <f aca="false">TEXT(B458,"yyyy-mm")</f>
        <v>2026-02</v>
      </c>
    </row>
    <row r="459" customFormat="false" ht="15" hidden="false" customHeight="false" outlineLevel="0" collapsed="false">
      <c r="A459" s="0" t="s">
        <v>623</v>
      </c>
      <c r="B459" s="2" t="n">
        <v>45869</v>
      </c>
      <c r="C459" s="3" t="s">
        <v>17</v>
      </c>
      <c r="D459" s="3" t="s">
        <v>41</v>
      </c>
      <c r="E459" s="3" t="s">
        <v>19</v>
      </c>
      <c r="F459" s="0" t="n">
        <v>2</v>
      </c>
      <c r="G459" s="0" t="n">
        <v>399</v>
      </c>
      <c r="H459" s="0" t="n">
        <v>0</v>
      </c>
      <c r="I459" s="3" t="s">
        <v>239</v>
      </c>
      <c r="J459" s="0" t="n">
        <v>3</v>
      </c>
      <c r="K459" s="3" t="s">
        <v>34</v>
      </c>
      <c r="L459" s="0" t="str">
        <f aca="false">VLOOKUP(D459,Products!$A$2:$D$13,2,FALSE())</f>
        <v>Electronics</v>
      </c>
      <c r="M459" s="3" t="n">
        <f aca="false">F459*G459*(1-H459/100)</f>
        <v>798</v>
      </c>
      <c r="N459" s="0" t="str">
        <f aca="false">VLOOKUP(I459,Customers!$A$2:$D$121,3,FALSE())</f>
        <v>Lucknow</v>
      </c>
      <c r="O459" s="0" t="str">
        <f aca="false">VLOOKUP(I459,Customers!$A$2:$D$121,4,FALSE())</f>
        <v>Retail</v>
      </c>
      <c r="P459" s="0" t="str">
        <f aca="false">TEXT(B459,"yyyy-mm")</f>
        <v>2025-07</v>
      </c>
    </row>
    <row r="460" customFormat="false" ht="15" hidden="false" customHeight="false" outlineLevel="0" collapsed="false">
      <c r="A460" s="0" t="s">
        <v>624</v>
      </c>
      <c r="B460" s="2" t="n">
        <v>45883</v>
      </c>
      <c r="C460" s="3" t="s">
        <v>17</v>
      </c>
      <c r="D460" s="3" t="s">
        <v>32</v>
      </c>
      <c r="E460" s="3" t="s">
        <v>93</v>
      </c>
      <c r="F460" s="0" t="n">
        <v>6</v>
      </c>
      <c r="G460" s="0" t="n">
        <v>249</v>
      </c>
      <c r="H460" s="0" t="n">
        <v>0</v>
      </c>
      <c r="I460" s="3" t="s">
        <v>104</v>
      </c>
      <c r="J460" s="0" t="n">
        <v>4</v>
      </c>
      <c r="K460" s="3" t="s">
        <v>34</v>
      </c>
      <c r="L460" s="0" t="str">
        <f aca="false">VLOOKUP(D460,Products!$A$2:$D$13,2,FALSE())</f>
        <v>Accessories</v>
      </c>
      <c r="M460" s="3" t="n">
        <f aca="false">F460*G460*(1-H460/100)</f>
        <v>1494</v>
      </c>
      <c r="N460" s="0" t="str">
        <f aca="false">VLOOKUP(I460,Customers!$A$2:$D$121,3,FALSE())</f>
        <v>Lucknow</v>
      </c>
      <c r="O460" s="0" t="str">
        <f aca="false">VLOOKUP(I460,Customers!$A$2:$D$121,4,FALSE())</f>
        <v>Student</v>
      </c>
      <c r="P460" s="0" t="str">
        <f aca="false">TEXT(B460,"yyyy-mm")</f>
        <v>2025-08</v>
      </c>
    </row>
    <row r="461" customFormat="false" ht="15" hidden="false" customHeight="false" outlineLevel="0" collapsed="false">
      <c r="A461" s="0" t="s">
        <v>625</v>
      </c>
      <c r="B461" s="2" t="n">
        <v>45772</v>
      </c>
      <c r="C461" s="3" t="s">
        <v>17</v>
      </c>
      <c r="D461" s="3" t="s">
        <v>45</v>
      </c>
      <c r="E461" s="3" t="s">
        <v>19</v>
      </c>
      <c r="F461" s="0" t="n">
        <v>1</v>
      </c>
      <c r="G461" s="0" t="n">
        <v>30</v>
      </c>
      <c r="H461" s="0" t="n">
        <v>5</v>
      </c>
      <c r="I461" s="3" t="s">
        <v>271</v>
      </c>
      <c r="J461" s="0" t="n">
        <v>5</v>
      </c>
      <c r="K461" s="3" t="s">
        <v>43</v>
      </c>
      <c r="L461" s="0" t="str">
        <f aca="false">VLOOKUP(D461,Products!$A$2:$D$13,2,FALSE())</f>
        <v>Stationery</v>
      </c>
      <c r="M461" s="3" t="n">
        <f aca="false">F461*G461*(1-H461/100)</f>
        <v>28.5</v>
      </c>
      <c r="N461" s="0" t="str">
        <f aca="false">VLOOKUP(I461,Customers!$A$2:$D$121,3,FALSE())</f>
        <v>Jaipur</v>
      </c>
      <c r="O461" s="0" t="str">
        <f aca="false">VLOOKUP(I461,Customers!$A$2:$D$121,4,FALSE())</f>
        <v>Retail</v>
      </c>
      <c r="P461" s="0" t="str">
        <f aca="false">TEXT(B461,"yyyy-mm")</f>
        <v>2025-04</v>
      </c>
    </row>
    <row r="462" customFormat="false" ht="15" hidden="false" customHeight="false" outlineLevel="0" collapsed="false">
      <c r="A462" s="0" t="s">
        <v>626</v>
      </c>
      <c r="B462" s="2" t="n">
        <v>45927</v>
      </c>
      <c r="C462" s="3" t="s">
        <v>51</v>
      </c>
      <c r="D462" s="3" t="s">
        <v>32</v>
      </c>
      <c r="E462" s="3" t="s">
        <v>83</v>
      </c>
      <c r="F462" s="0" t="n">
        <v>1</v>
      </c>
      <c r="G462" s="0" t="n">
        <v>249</v>
      </c>
      <c r="H462" s="0" t="n">
        <v>10</v>
      </c>
      <c r="I462" s="3" t="s">
        <v>58</v>
      </c>
      <c r="J462" s="0" t="n">
        <v>2</v>
      </c>
      <c r="K462" s="3" t="s">
        <v>26</v>
      </c>
      <c r="L462" s="0" t="str">
        <f aca="false">VLOOKUP(D462,Products!$A$2:$D$13,2,FALSE())</f>
        <v>Accessories</v>
      </c>
      <c r="M462" s="3" t="n">
        <f aca="false">F462*G462*(1-H462/100)</f>
        <v>224.1</v>
      </c>
      <c r="N462" s="0" t="str">
        <f aca="false">VLOOKUP(I462,Customers!$A$2:$D$121,3,FALSE())</f>
        <v>Kolkata</v>
      </c>
      <c r="O462" s="0" t="str">
        <f aca="false">VLOOKUP(I462,Customers!$A$2:$D$121,4,FALSE())</f>
        <v>Corporate</v>
      </c>
      <c r="P462" s="0" t="str">
        <f aca="false">TEXT(B462,"yyyy-mm")</f>
        <v>2025-09</v>
      </c>
    </row>
    <row r="463" customFormat="false" ht="15" hidden="false" customHeight="false" outlineLevel="0" collapsed="false">
      <c r="A463" s="0" t="s">
        <v>627</v>
      </c>
      <c r="B463" s="2" t="n">
        <v>45785</v>
      </c>
      <c r="C463" s="3" t="s">
        <v>51</v>
      </c>
      <c r="D463" s="3" t="s">
        <v>108</v>
      </c>
      <c r="E463" s="3" t="s">
        <v>83</v>
      </c>
      <c r="F463" s="0" t="n">
        <v>4</v>
      </c>
      <c r="G463" s="0" t="n">
        <v>180</v>
      </c>
      <c r="H463" s="0" t="n">
        <v>0</v>
      </c>
      <c r="I463" s="3" t="s">
        <v>246</v>
      </c>
      <c r="J463" s="0" t="n">
        <v>1</v>
      </c>
      <c r="K463" s="3" t="s">
        <v>21</v>
      </c>
      <c r="L463" s="0" t="str">
        <f aca="false">VLOOKUP(D463,Products!$A$2:$D$13,2,FALSE())</f>
        <v>Stationery</v>
      </c>
      <c r="M463" s="3" t="n">
        <f aca="false">F463*G463*(1-H463/100)</f>
        <v>720</v>
      </c>
      <c r="N463" s="0" t="str">
        <f aca="false">VLOOKUP(I463,Customers!$A$2:$D$121,3,FALSE())</f>
        <v>Pune</v>
      </c>
      <c r="O463" s="0" t="str">
        <f aca="false">VLOOKUP(I463,Customers!$A$2:$D$121,4,FALSE())</f>
        <v>Student</v>
      </c>
      <c r="P463" s="0" t="str">
        <f aca="false">TEXT(B463,"yyyy-mm")</f>
        <v>2025-05</v>
      </c>
    </row>
    <row r="464" customFormat="false" ht="15" hidden="false" customHeight="false" outlineLevel="0" collapsed="false">
      <c r="A464" s="0" t="s">
        <v>628</v>
      </c>
      <c r="B464" s="2" t="n">
        <v>45835</v>
      </c>
      <c r="C464" s="3" t="s">
        <v>72</v>
      </c>
      <c r="D464" s="3" t="s">
        <v>45</v>
      </c>
      <c r="E464" s="3" t="s">
        <v>89</v>
      </c>
      <c r="F464" s="0" t="n">
        <v>1</v>
      </c>
      <c r="G464" s="0" t="n">
        <v>30</v>
      </c>
      <c r="H464" s="0" t="n">
        <v>5</v>
      </c>
      <c r="I464" s="3" t="s">
        <v>359</v>
      </c>
      <c r="J464" s="0" t="n">
        <v>5</v>
      </c>
      <c r="K464" s="3" t="s">
        <v>34</v>
      </c>
      <c r="L464" s="0" t="str">
        <f aca="false">VLOOKUP(D464,Products!$A$2:$D$13,2,FALSE())</f>
        <v>Stationery</v>
      </c>
      <c r="M464" s="3" t="n">
        <f aca="false">F464*G464*(1-H464/100)</f>
        <v>28.5</v>
      </c>
      <c r="N464" s="0" t="str">
        <f aca="false">VLOOKUP(I464,Customers!$A$2:$D$121,3,FALSE())</f>
        <v>Mumbai</v>
      </c>
      <c r="O464" s="0" t="str">
        <f aca="false">VLOOKUP(I464,Customers!$A$2:$D$121,4,FALSE())</f>
        <v>Retail</v>
      </c>
      <c r="P464" s="0" t="str">
        <f aca="false">TEXT(B464,"yyyy-mm")</f>
        <v>2025-06</v>
      </c>
    </row>
    <row r="465" customFormat="false" ht="15" hidden="false" customHeight="false" outlineLevel="0" collapsed="false">
      <c r="A465" s="0" t="s">
        <v>629</v>
      </c>
      <c r="B465" s="2" t="n">
        <v>45995</v>
      </c>
      <c r="C465" s="3" t="s">
        <v>23</v>
      </c>
      <c r="D465" s="3" t="s">
        <v>116</v>
      </c>
      <c r="E465" s="3" t="s">
        <v>24</v>
      </c>
      <c r="F465" s="0" t="n">
        <v>6</v>
      </c>
      <c r="G465" s="0" t="n">
        <v>699</v>
      </c>
      <c r="H465" s="0" t="n">
        <v>15</v>
      </c>
      <c r="I465" s="3" t="s">
        <v>137</v>
      </c>
      <c r="J465" s="0" t="n">
        <v>4</v>
      </c>
      <c r="K465" s="3" t="s">
        <v>43</v>
      </c>
      <c r="L465" s="0" t="str">
        <f aca="false">VLOOKUP(D465,Products!$A$2:$D$13,2,FALSE())</f>
        <v>Home</v>
      </c>
      <c r="M465" s="3" t="n">
        <f aca="false">F465*G465*(1-H465/100)</f>
        <v>3564.9</v>
      </c>
      <c r="N465" s="0" t="str">
        <f aca="false">VLOOKUP(I465,Customers!$A$2:$D$121,3,FALSE())</f>
        <v>Mumbai</v>
      </c>
      <c r="O465" s="0" t="str">
        <f aca="false">VLOOKUP(I465,Customers!$A$2:$D$121,4,FALSE())</f>
        <v>Corporate</v>
      </c>
      <c r="P465" s="0" t="str">
        <f aca="false">TEXT(B465,"yyyy-mm")</f>
        <v>2025-12</v>
      </c>
    </row>
    <row r="466" customFormat="false" ht="15" hidden="false" customHeight="false" outlineLevel="0" collapsed="false">
      <c r="A466" s="0" t="s">
        <v>630</v>
      </c>
      <c r="B466" s="2" t="n">
        <v>45799</v>
      </c>
      <c r="C466" s="3" t="s">
        <v>17</v>
      </c>
      <c r="D466" s="3" t="s">
        <v>108</v>
      </c>
      <c r="E466" s="3" t="s">
        <v>93</v>
      </c>
      <c r="F466" s="0" t="n">
        <v>1</v>
      </c>
      <c r="G466" s="0" t="n">
        <v>180</v>
      </c>
      <c r="H466" s="0" t="n">
        <v>0</v>
      </c>
      <c r="I466" s="3" t="s">
        <v>296</v>
      </c>
      <c r="J466" s="0" t="n">
        <v>5</v>
      </c>
      <c r="K466" s="3" t="s">
        <v>34</v>
      </c>
      <c r="L466" s="0" t="str">
        <f aca="false">VLOOKUP(D466,Products!$A$2:$D$13,2,FALSE())</f>
        <v>Stationery</v>
      </c>
      <c r="M466" s="3" t="n">
        <f aca="false">F466*G466*(1-H466/100)</f>
        <v>180</v>
      </c>
      <c r="N466" s="0" t="str">
        <f aca="false">VLOOKUP(I466,Customers!$A$2:$D$121,3,FALSE())</f>
        <v>Pune</v>
      </c>
      <c r="O466" s="0" t="str">
        <f aca="false">VLOOKUP(I466,Customers!$A$2:$D$121,4,FALSE())</f>
        <v>Retail</v>
      </c>
      <c r="P466" s="0" t="str">
        <f aca="false">TEXT(B466,"yyyy-mm")</f>
        <v>2025-05</v>
      </c>
    </row>
    <row r="467" customFormat="false" ht="15" hidden="false" customHeight="false" outlineLevel="0" collapsed="false">
      <c r="A467" s="0" t="s">
        <v>631</v>
      </c>
      <c r="B467" s="2" t="n">
        <v>45900</v>
      </c>
      <c r="C467" s="3" t="s">
        <v>72</v>
      </c>
      <c r="D467" s="3" t="s">
        <v>18</v>
      </c>
      <c r="E467" s="3" t="s">
        <v>73</v>
      </c>
      <c r="F467" s="0" t="n">
        <v>6</v>
      </c>
      <c r="G467" s="0" t="n">
        <v>349</v>
      </c>
      <c r="H467" s="0" t="n">
        <v>0</v>
      </c>
      <c r="I467" s="3" t="s">
        <v>98</v>
      </c>
      <c r="J467" s="0" t="n">
        <v>1</v>
      </c>
      <c r="K467" s="3" t="s">
        <v>26</v>
      </c>
      <c r="L467" s="0" t="str">
        <f aca="false">VLOOKUP(D467,Products!$A$2:$D$13,2,FALSE())</f>
        <v>Home</v>
      </c>
      <c r="M467" s="3" t="n">
        <f aca="false">F467*G467*(1-H467/100)</f>
        <v>2094</v>
      </c>
      <c r="N467" s="0" t="str">
        <f aca="false">VLOOKUP(I467,Customers!$A$2:$D$121,3,FALSE())</f>
        <v>Pune</v>
      </c>
      <c r="O467" s="0" t="str">
        <f aca="false">VLOOKUP(I467,Customers!$A$2:$D$121,4,FALSE())</f>
        <v>Retail</v>
      </c>
      <c r="P467" s="0" t="str">
        <f aca="false">TEXT(B467,"yyyy-mm")</f>
        <v>2025-08</v>
      </c>
    </row>
    <row r="468" customFormat="false" ht="15" hidden="false" customHeight="false" outlineLevel="0" collapsed="false">
      <c r="A468" s="0" t="s">
        <v>632</v>
      </c>
      <c r="B468" s="2" t="n">
        <v>45749</v>
      </c>
      <c r="C468" s="3" t="s">
        <v>72</v>
      </c>
      <c r="D468" s="3" t="s">
        <v>60</v>
      </c>
      <c r="E468" s="3" t="s">
        <v>73</v>
      </c>
      <c r="F468" s="0" t="n">
        <v>1</v>
      </c>
      <c r="G468" s="0" t="n">
        <v>40</v>
      </c>
      <c r="H468" s="0" t="n">
        <v>5</v>
      </c>
      <c r="I468" s="3" t="s">
        <v>67</v>
      </c>
      <c r="J468" s="0" t="n">
        <v>3</v>
      </c>
      <c r="K468" s="3" t="s">
        <v>26</v>
      </c>
      <c r="L468" s="0" t="str">
        <f aca="false">VLOOKUP(D468,Products!$A$2:$D$13,2,FALSE())</f>
        <v>Stationery</v>
      </c>
      <c r="M468" s="3" t="n">
        <f aca="false">F468*G468*(1-H468/100)</f>
        <v>38</v>
      </c>
      <c r="N468" s="0" t="str">
        <f aca="false">VLOOKUP(I468,Customers!$A$2:$D$121,3,FALSE())</f>
        <v>Jaipur</v>
      </c>
      <c r="O468" s="0" t="str">
        <f aca="false">VLOOKUP(I468,Customers!$A$2:$D$121,4,FALSE())</f>
        <v>Corporate</v>
      </c>
      <c r="P468" s="0" t="str">
        <f aca="false">TEXT(B468,"yyyy-mm")</f>
        <v>2025-04</v>
      </c>
    </row>
    <row r="469" customFormat="false" ht="15" hidden="false" customHeight="false" outlineLevel="0" collapsed="false">
      <c r="A469" s="0" t="s">
        <v>633</v>
      </c>
      <c r="B469" s="2" t="n">
        <v>45853</v>
      </c>
      <c r="C469" s="3" t="s">
        <v>17</v>
      </c>
      <c r="D469" s="3" t="s">
        <v>45</v>
      </c>
      <c r="E469" s="3" t="s">
        <v>19</v>
      </c>
      <c r="F469" s="0" t="n">
        <v>4</v>
      </c>
      <c r="G469" s="0" t="n">
        <v>30</v>
      </c>
      <c r="H469" s="0" t="n">
        <v>0</v>
      </c>
      <c r="I469" s="3" t="s">
        <v>53</v>
      </c>
      <c r="J469" s="0" t="n">
        <v>3</v>
      </c>
      <c r="K469" s="3" t="s">
        <v>43</v>
      </c>
      <c r="L469" s="0" t="str">
        <f aca="false">VLOOKUP(D469,Products!$A$2:$D$13,2,FALSE())</f>
        <v>Stationery</v>
      </c>
      <c r="M469" s="3" t="n">
        <f aca="false">F469*G469*(1-H469/100)</f>
        <v>120</v>
      </c>
      <c r="N469" s="0" t="str">
        <f aca="false">VLOOKUP(I469,Customers!$A$2:$D$121,3,FALSE())</f>
        <v>Nagpur</v>
      </c>
      <c r="O469" s="0" t="str">
        <f aca="false">VLOOKUP(I469,Customers!$A$2:$D$121,4,FALSE())</f>
        <v>Retail</v>
      </c>
      <c r="P469" s="0" t="str">
        <f aca="false">TEXT(B469,"yyyy-mm")</f>
        <v>2025-07</v>
      </c>
    </row>
    <row r="470" customFormat="false" ht="15" hidden="false" customHeight="false" outlineLevel="0" collapsed="false">
      <c r="A470" s="0" t="s">
        <v>634</v>
      </c>
      <c r="B470" s="2" t="n">
        <v>45951</v>
      </c>
      <c r="C470" s="3" t="s">
        <v>72</v>
      </c>
      <c r="D470" s="3" t="s">
        <v>45</v>
      </c>
      <c r="E470" s="3" t="s">
        <v>73</v>
      </c>
      <c r="F470" s="0" t="n">
        <v>2</v>
      </c>
      <c r="G470" s="0" t="n">
        <v>30</v>
      </c>
      <c r="H470" s="0" t="n">
        <v>5</v>
      </c>
      <c r="I470" s="3" t="s">
        <v>96</v>
      </c>
      <c r="J470" s="0" t="n">
        <v>5</v>
      </c>
      <c r="K470" s="3" t="s">
        <v>21</v>
      </c>
      <c r="L470" s="0" t="str">
        <f aca="false">VLOOKUP(D470,Products!$A$2:$D$13,2,FALSE())</f>
        <v>Stationery</v>
      </c>
      <c r="M470" s="3" t="n">
        <f aca="false">F470*G470*(1-H470/100)</f>
        <v>57</v>
      </c>
      <c r="N470" s="0" t="str">
        <f aca="false">VLOOKUP(I470,Customers!$A$2:$D$121,3,FALSE())</f>
        <v>Delhi</v>
      </c>
      <c r="O470" s="0" t="str">
        <f aca="false">VLOOKUP(I470,Customers!$A$2:$D$121,4,FALSE())</f>
        <v>Retail</v>
      </c>
      <c r="P470" s="0" t="str">
        <f aca="false">TEXT(B470,"yyyy-mm")</f>
        <v>2025-10</v>
      </c>
    </row>
    <row r="471" customFormat="false" ht="15" hidden="false" customHeight="false" outlineLevel="0" collapsed="false">
      <c r="A471" s="0" t="s">
        <v>635</v>
      </c>
      <c r="B471" s="2" t="n">
        <v>45946</v>
      </c>
      <c r="C471" s="3" t="s">
        <v>23</v>
      </c>
      <c r="D471" s="3" t="s">
        <v>18</v>
      </c>
      <c r="E471" s="3" t="s">
        <v>29</v>
      </c>
      <c r="F471" s="0" t="n">
        <v>9</v>
      </c>
      <c r="G471" s="0" t="n">
        <v>349</v>
      </c>
      <c r="H471" s="0" t="n">
        <v>0</v>
      </c>
      <c r="I471" s="3" t="s">
        <v>317</v>
      </c>
      <c r="J471" s="0" t="n">
        <v>5</v>
      </c>
      <c r="K471" s="3" t="s">
        <v>26</v>
      </c>
      <c r="L471" s="0" t="str">
        <f aca="false">VLOOKUP(D471,Products!$A$2:$D$13,2,FALSE())</f>
        <v>Home</v>
      </c>
      <c r="M471" s="3" t="n">
        <f aca="false">F471*G471*(1-H471/100)</f>
        <v>3141</v>
      </c>
      <c r="N471" s="0" t="str">
        <f aca="false">VLOOKUP(I471,Customers!$A$2:$D$121,3,FALSE())</f>
        <v>Jaipur</v>
      </c>
      <c r="O471" s="0" t="str">
        <f aca="false">VLOOKUP(I471,Customers!$A$2:$D$121,4,FALSE())</f>
        <v>Student</v>
      </c>
      <c r="P471" s="0" t="str">
        <f aca="false">TEXT(B471,"yyyy-mm")</f>
        <v>2025-10</v>
      </c>
    </row>
    <row r="472" customFormat="false" ht="15" hidden="false" customHeight="false" outlineLevel="0" collapsed="false">
      <c r="A472" s="0" t="s">
        <v>636</v>
      </c>
      <c r="B472" s="2" t="n">
        <v>45882</v>
      </c>
      <c r="C472" s="3" t="s">
        <v>17</v>
      </c>
      <c r="D472" s="3" t="s">
        <v>32</v>
      </c>
      <c r="E472" s="3" t="s">
        <v>93</v>
      </c>
      <c r="F472" s="0" t="n">
        <v>1</v>
      </c>
      <c r="G472" s="0" t="n">
        <v>249</v>
      </c>
      <c r="H472" s="0" t="n">
        <v>5</v>
      </c>
      <c r="I472" s="3" t="s">
        <v>163</v>
      </c>
      <c r="J472" s="0" t="n">
        <v>3</v>
      </c>
      <c r="K472" s="3" t="s">
        <v>21</v>
      </c>
      <c r="L472" s="0" t="str">
        <f aca="false">VLOOKUP(D472,Products!$A$2:$D$13,2,FALSE())</f>
        <v>Accessories</v>
      </c>
      <c r="M472" s="3" t="n">
        <f aca="false">F472*G472*(1-H472/100)</f>
        <v>236.55</v>
      </c>
      <c r="N472" s="0" t="str">
        <f aca="false">VLOOKUP(I472,Customers!$A$2:$D$121,3,FALSE())</f>
        <v>Kolkata</v>
      </c>
      <c r="O472" s="0" t="str">
        <f aca="false">VLOOKUP(I472,Customers!$A$2:$D$121,4,FALSE())</f>
        <v>Student</v>
      </c>
      <c r="P472" s="0" t="str">
        <f aca="false">TEXT(B472,"yyyy-mm")</f>
        <v>2025-08</v>
      </c>
    </row>
    <row r="473" customFormat="false" ht="15" hidden="false" customHeight="false" outlineLevel="0" collapsed="false">
      <c r="A473" s="0" t="s">
        <v>637</v>
      </c>
      <c r="B473" s="2" t="n">
        <v>45791</v>
      </c>
      <c r="C473" s="3" t="s">
        <v>17</v>
      </c>
      <c r="D473" s="3" t="s">
        <v>108</v>
      </c>
      <c r="E473" s="3" t="s">
        <v>93</v>
      </c>
      <c r="F473" s="0" t="n">
        <v>2</v>
      </c>
      <c r="G473" s="0" t="n">
        <v>180</v>
      </c>
      <c r="H473" s="0" t="n">
        <v>15</v>
      </c>
      <c r="I473" s="3" t="s">
        <v>141</v>
      </c>
      <c r="J473" s="0" t="n">
        <v>5</v>
      </c>
      <c r="K473" s="3" t="s">
        <v>26</v>
      </c>
      <c r="L473" s="0" t="str">
        <f aca="false">VLOOKUP(D473,Products!$A$2:$D$13,2,FALSE())</f>
        <v>Stationery</v>
      </c>
      <c r="M473" s="3" t="n">
        <f aca="false">F473*G473*(1-H473/100)</f>
        <v>306</v>
      </c>
      <c r="N473" s="0" t="str">
        <f aca="false">VLOOKUP(I473,Customers!$A$2:$D$121,3,FALSE())</f>
        <v>Bhopal</v>
      </c>
      <c r="O473" s="0" t="str">
        <f aca="false">VLOOKUP(I473,Customers!$A$2:$D$121,4,FALSE())</f>
        <v>Student</v>
      </c>
      <c r="P473" s="0" t="str">
        <f aca="false">TEXT(B473,"yyyy-mm")</f>
        <v>2025-05</v>
      </c>
    </row>
    <row r="474" customFormat="false" ht="15" hidden="false" customHeight="false" outlineLevel="0" collapsed="false">
      <c r="A474" s="0" t="s">
        <v>638</v>
      </c>
      <c r="B474" s="2" t="n">
        <v>45946</v>
      </c>
      <c r="C474" s="3" t="s">
        <v>17</v>
      </c>
      <c r="D474" s="3" t="s">
        <v>57</v>
      </c>
      <c r="E474" s="3" t="s">
        <v>93</v>
      </c>
      <c r="F474" s="0" t="n">
        <v>6</v>
      </c>
      <c r="G474" s="0" t="n">
        <v>549</v>
      </c>
      <c r="H474" s="0" t="n">
        <v>10</v>
      </c>
      <c r="I474" s="3" t="s">
        <v>322</v>
      </c>
      <c r="J474" s="0" t="n">
        <v>5</v>
      </c>
      <c r="K474" s="3" t="s">
        <v>26</v>
      </c>
      <c r="L474" s="0" t="str">
        <f aca="false">VLOOKUP(D474,Products!$A$2:$D$13,2,FALSE())</f>
        <v>Accessories</v>
      </c>
      <c r="M474" s="3" t="n">
        <f aca="false">F474*G474*(1-H474/100)</f>
        <v>2964.6</v>
      </c>
      <c r="N474" s="0" t="str">
        <f aca="false">VLOOKUP(I474,Customers!$A$2:$D$121,3,FALSE())</f>
        <v>Kolkata</v>
      </c>
      <c r="O474" s="0" t="str">
        <f aca="false">VLOOKUP(I474,Customers!$A$2:$D$121,4,FALSE())</f>
        <v>Retail</v>
      </c>
      <c r="P474" s="0" t="str">
        <f aca="false">TEXT(B474,"yyyy-mm")</f>
        <v>2025-10</v>
      </c>
    </row>
    <row r="475" customFormat="false" ht="15" hidden="false" customHeight="false" outlineLevel="0" collapsed="false">
      <c r="A475" s="0" t="s">
        <v>639</v>
      </c>
      <c r="B475" s="2" t="n">
        <v>45788</v>
      </c>
      <c r="C475" s="3" t="s">
        <v>72</v>
      </c>
      <c r="D475" s="3" t="s">
        <v>32</v>
      </c>
      <c r="E475" s="3" t="s">
        <v>89</v>
      </c>
      <c r="F475" s="0" t="n">
        <v>2</v>
      </c>
      <c r="G475" s="0" t="n">
        <v>249</v>
      </c>
      <c r="H475" s="0" t="n">
        <v>5</v>
      </c>
      <c r="I475" s="3" t="s">
        <v>94</v>
      </c>
      <c r="J475" s="0" t="n">
        <v>5</v>
      </c>
      <c r="K475" s="3" t="s">
        <v>26</v>
      </c>
      <c r="L475" s="0" t="str">
        <f aca="false">VLOOKUP(D475,Products!$A$2:$D$13,2,FALSE())</f>
        <v>Accessories</v>
      </c>
      <c r="M475" s="3" t="n">
        <f aca="false">F475*G475*(1-H475/100)</f>
        <v>473.1</v>
      </c>
      <c r="N475" s="0" t="str">
        <f aca="false">VLOOKUP(I475,Customers!$A$2:$D$121,3,FALSE())</f>
        <v>Chennai</v>
      </c>
      <c r="O475" s="0" t="str">
        <f aca="false">VLOOKUP(I475,Customers!$A$2:$D$121,4,FALSE())</f>
        <v>Corporate</v>
      </c>
      <c r="P475" s="0" t="str">
        <f aca="false">TEXT(B475,"yyyy-mm")</f>
        <v>2025-05</v>
      </c>
    </row>
    <row r="476" customFormat="false" ht="15" hidden="false" customHeight="false" outlineLevel="0" collapsed="false">
      <c r="A476" s="0" t="s">
        <v>640</v>
      </c>
      <c r="B476" s="2" t="n">
        <v>45836</v>
      </c>
      <c r="C476" s="3" t="s">
        <v>51</v>
      </c>
      <c r="D476" s="3" t="s">
        <v>45</v>
      </c>
      <c r="E476" s="3" t="s">
        <v>52</v>
      </c>
      <c r="F476" s="0" t="n">
        <v>2</v>
      </c>
      <c r="G476" s="0" t="n">
        <v>30</v>
      </c>
      <c r="H476" s="0" t="n">
        <v>0</v>
      </c>
      <c r="I476" s="3" t="s">
        <v>86</v>
      </c>
      <c r="J476" s="0" t="n">
        <v>5</v>
      </c>
      <c r="K476" s="3" t="s">
        <v>21</v>
      </c>
      <c r="L476" s="0" t="str">
        <f aca="false">VLOOKUP(D476,Products!$A$2:$D$13,2,FALSE())</f>
        <v>Stationery</v>
      </c>
      <c r="M476" s="3" t="n">
        <f aca="false">F476*G476*(1-H476/100)</f>
        <v>60</v>
      </c>
      <c r="N476" s="0" t="str">
        <f aca="false">VLOOKUP(I476,Customers!$A$2:$D$121,3,FALSE())</f>
        <v>Kolkata</v>
      </c>
      <c r="O476" s="0" t="str">
        <f aca="false">VLOOKUP(I476,Customers!$A$2:$D$121,4,FALSE())</f>
        <v>Student</v>
      </c>
      <c r="P476" s="0" t="str">
        <f aca="false">TEXT(B476,"yyyy-mm")</f>
        <v>2025-06</v>
      </c>
    </row>
    <row r="477" customFormat="false" ht="15" hidden="false" customHeight="false" outlineLevel="0" collapsed="false">
      <c r="A477" s="0" t="s">
        <v>641</v>
      </c>
      <c r="B477" s="2" t="n">
        <v>46097</v>
      </c>
      <c r="C477" s="3" t="s">
        <v>17</v>
      </c>
      <c r="D477" s="3" t="s">
        <v>88</v>
      </c>
      <c r="E477" s="3" t="s">
        <v>19</v>
      </c>
      <c r="F477" s="0" t="n">
        <v>2</v>
      </c>
      <c r="G477" s="0" t="n">
        <v>799</v>
      </c>
      <c r="H477" s="0" t="n">
        <v>5</v>
      </c>
      <c r="I477" s="3" t="s">
        <v>273</v>
      </c>
      <c r="J477" s="0" t="n">
        <v>5</v>
      </c>
      <c r="K477" s="3" t="s">
        <v>34</v>
      </c>
      <c r="L477" s="0" t="str">
        <f aca="false">VLOOKUP(D477,Products!$A$2:$D$13,2,FALSE())</f>
        <v>Accessories</v>
      </c>
      <c r="M477" s="3" t="n">
        <f aca="false">F477*G477*(1-H477/100)</f>
        <v>1518.1</v>
      </c>
      <c r="N477" s="0" t="str">
        <f aca="false">VLOOKUP(I477,Customers!$A$2:$D$121,3,FALSE())</f>
        <v>Jaipur</v>
      </c>
      <c r="O477" s="0" t="str">
        <f aca="false">VLOOKUP(I477,Customers!$A$2:$D$121,4,FALSE())</f>
        <v>Corporate</v>
      </c>
      <c r="P477" s="0" t="str">
        <f aca="false">TEXT(B477,"yyyy-mm")</f>
        <v>2026-03</v>
      </c>
    </row>
    <row r="478" customFormat="false" ht="15" hidden="false" customHeight="false" outlineLevel="0" collapsed="false">
      <c r="A478" s="0" t="s">
        <v>642</v>
      </c>
      <c r="B478" s="2" t="n">
        <v>45792</v>
      </c>
      <c r="C478" s="3" t="s">
        <v>17</v>
      </c>
      <c r="D478" s="3" t="s">
        <v>41</v>
      </c>
      <c r="E478" s="3" t="s">
        <v>93</v>
      </c>
      <c r="F478" s="0" t="n">
        <v>2</v>
      </c>
      <c r="G478" s="0" t="n">
        <v>399</v>
      </c>
      <c r="H478" s="0" t="n">
        <v>5</v>
      </c>
      <c r="I478" s="3" t="s">
        <v>30</v>
      </c>
      <c r="J478" s="0" t="n">
        <v>4</v>
      </c>
      <c r="K478" s="3" t="s">
        <v>34</v>
      </c>
      <c r="L478" s="0" t="str">
        <f aca="false">VLOOKUP(D478,Products!$A$2:$D$13,2,FALSE())</f>
        <v>Electronics</v>
      </c>
      <c r="M478" s="3" t="n">
        <f aca="false">F478*G478*(1-H478/100)</f>
        <v>758.1</v>
      </c>
      <c r="N478" s="0" t="str">
        <f aca="false">VLOOKUP(I478,Customers!$A$2:$D$121,3,FALSE())</f>
        <v>Chennai</v>
      </c>
      <c r="O478" s="0" t="str">
        <f aca="false">VLOOKUP(I478,Customers!$A$2:$D$121,4,FALSE())</f>
        <v>Student</v>
      </c>
      <c r="P478" s="0" t="str">
        <f aca="false">TEXT(B478,"yyyy-mm")</f>
        <v>2025-05</v>
      </c>
    </row>
    <row r="479" customFormat="false" ht="15" hidden="false" customHeight="false" outlineLevel="0" collapsed="false">
      <c r="A479" s="0" t="s">
        <v>643</v>
      </c>
      <c r="B479" s="2" t="n">
        <v>45754</v>
      </c>
      <c r="C479" s="3" t="s">
        <v>51</v>
      </c>
      <c r="D479" s="3" t="s">
        <v>57</v>
      </c>
      <c r="E479" s="3" t="s">
        <v>83</v>
      </c>
      <c r="F479" s="0" t="n">
        <v>2</v>
      </c>
      <c r="G479" s="0" t="n">
        <v>549</v>
      </c>
      <c r="H479" s="0" t="n">
        <v>15</v>
      </c>
      <c r="I479" s="3" t="s">
        <v>46</v>
      </c>
      <c r="J479" s="0" t="n">
        <v>4</v>
      </c>
      <c r="K479" s="3" t="s">
        <v>21</v>
      </c>
      <c r="L479" s="0" t="str">
        <f aca="false">VLOOKUP(D479,Products!$A$2:$D$13,2,FALSE())</f>
        <v>Accessories</v>
      </c>
      <c r="M479" s="3" t="n">
        <f aca="false">F479*G479*(1-H479/100)</f>
        <v>933.3</v>
      </c>
      <c r="N479" s="0" t="str">
        <f aca="false">VLOOKUP(I479,Customers!$A$2:$D$121,3,FALSE())</f>
        <v>Indore</v>
      </c>
      <c r="O479" s="0" t="str">
        <f aca="false">VLOOKUP(I479,Customers!$A$2:$D$121,4,FALSE())</f>
        <v>Student</v>
      </c>
      <c r="P479" s="0" t="str">
        <f aca="false">TEXT(B479,"yyyy-mm")</f>
        <v>2025-04</v>
      </c>
    </row>
    <row r="480" customFormat="false" ht="15" hidden="false" customHeight="false" outlineLevel="0" collapsed="false">
      <c r="A480" s="0" t="s">
        <v>644</v>
      </c>
      <c r="B480" s="2" t="n">
        <v>45823</v>
      </c>
      <c r="C480" s="3" t="s">
        <v>36</v>
      </c>
      <c r="D480" s="3" t="s">
        <v>88</v>
      </c>
      <c r="E480" s="3" t="s">
        <v>38</v>
      </c>
      <c r="F480" s="0" t="n">
        <v>2</v>
      </c>
      <c r="G480" s="0" t="n">
        <v>799</v>
      </c>
      <c r="H480" s="0" t="n">
        <v>10</v>
      </c>
      <c r="I480" s="3" t="s">
        <v>335</v>
      </c>
      <c r="J480" s="0" t="n">
        <v>4</v>
      </c>
      <c r="K480" s="3" t="s">
        <v>21</v>
      </c>
      <c r="L480" s="0" t="str">
        <f aca="false">VLOOKUP(D480,Products!$A$2:$D$13,2,FALSE())</f>
        <v>Accessories</v>
      </c>
      <c r="M480" s="3" t="n">
        <f aca="false">F480*G480*(1-H480/100)</f>
        <v>1438.2</v>
      </c>
      <c r="N480" s="0" t="str">
        <f aca="false">VLOOKUP(I480,Customers!$A$2:$D$121,3,FALSE())</f>
        <v>Bhopal</v>
      </c>
      <c r="O480" s="0" t="str">
        <f aca="false">VLOOKUP(I480,Customers!$A$2:$D$121,4,FALSE())</f>
        <v>Retail</v>
      </c>
      <c r="P480" s="0" t="str">
        <f aca="false">TEXT(B480,"yyyy-mm")</f>
        <v>2025-06</v>
      </c>
    </row>
    <row r="481" customFormat="false" ht="15" hidden="false" customHeight="false" outlineLevel="0" collapsed="false">
      <c r="A481" s="0" t="s">
        <v>645</v>
      </c>
      <c r="B481" s="2" t="n">
        <v>46040</v>
      </c>
      <c r="C481" s="3" t="s">
        <v>51</v>
      </c>
      <c r="D481" s="3" t="s">
        <v>88</v>
      </c>
      <c r="E481" s="3" t="s">
        <v>83</v>
      </c>
      <c r="F481" s="0" t="n">
        <v>1</v>
      </c>
      <c r="G481" s="0" t="n">
        <v>799</v>
      </c>
      <c r="H481" s="0" t="n">
        <v>10</v>
      </c>
      <c r="I481" s="3" t="s">
        <v>223</v>
      </c>
      <c r="J481" s="0" t="n">
        <v>1</v>
      </c>
      <c r="K481" s="3" t="s">
        <v>43</v>
      </c>
      <c r="L481" s="0" t="str">
        <f aca="false">VLOOKUP(D481,Products!$A$2:$D$13,2,FALSE())</f>
        <v>Accessories</v>
      </c>
      <c r="M481" s="3" t="n">
        <f aca="false">F481*G481*(1-H481/100)</f>
        <v>719.1</v>
      </c>
      <c r="N481" s="0" t="str">
        <f aca="false">VLOOKUP(I481,Customers!$A$2:$D$121,3,FALSE())</f>
        <v>Jaipur</v>
      </c>
      <c r="O481" s="0" t="str">
        <f aca="false">VLOOKUP(I481,Customers!$A$2:$D$121,4,FALSE())</f>
        <v>Student</v>
      </c>
      <c r="P481" s="0" t="str">
        <f aca="false">TEXT(B481,"yyyy-mm")</f>
        <v>2026-01</v>
      </c>
    </row>
    <row r="482" customFormat="false" ht="15" hidden="false" customHeight="false" outlineLevel="0" collapsed="false">
      <c r="A482" s="0" t="s">
        <v>646</v>
      </c>
      <c r="B482" s="2" t="n">
        <v>46059</v>
      </c>
      <c r="C482" s="3" t="s">
        <v>23</v>
      </c>
      <c r="D482" s="3" t="s">
        <v>108</v>
      </c>
      <c r="E482" s="3" t="s">
        <v>29</v>
      </c>
      <c r="F482" s="0" t="n">
        <v>1</v>
      </c>
      <c r="G482" s="0" t="n">
        <v>180</v>
      </c>
      <c r="H482" s="0" t="n">
        <v>15</v>
      </c>
      <c r="I482" s="3" t="s">
        <v>161</v>
      </c>
      <c r="J482" s="0" t="n">
        <v>4</v>
      </c>
      <c r="K482" s="3" t="s">
        <v>34</v>
      </c>
      <c r="L482" s="0" t="str">
        <f aca="false">VLOOKUP(D482,Products!$A$2:$D$13,2,FALSE())</f>
        <v>Stationery</v>
      </c>
      <c r="M482" s="3" t="n">
        <f aca="false">F482*G482*(1-H482/100)</f>
        <v>153</v>
      </c>
      <c r="N482" s="0" t="str">
        <f aca="false">VLOOKUP(I482,Customers!$A$2:$D$121,3,FALSE())</f>
        <v>Lucknow</v>
      </c>
      <c r="O482" s="0" t="str">
        <f aca="false">VLOOKUP(I482,Customers!$A$2:$D$121,4,FALSE())</f>
        <v>Corporate</v>
      </c>
      <c r="P482" s="0" t="str">
        <f aca="false">TEXT(B482,"yyyy-mm")</f>
        <v>2026-02</v>
      </c>
    </row>
    <row r="483" customFormat="false" ht="15" hidden="false" customHeight="false" outlineLevel="0" collapsed="false">
      <c r="A483" s="0" t="s">
        <v>647</v>
      </c>
      <c r="B483" s="2" t="n">
        <v>45773</v>
      </c>
      <c r="C483" s="3" t="s">
        <v>36</v>
      </c>
      <c r="D483" s="3" t="s">
        <v>48</v>
      </c>
      <c r="E483" s="3" t="s">
        <v>69</v>
      </c>
      <c r="F483" s="0" t="n">
        <v>6</v>
      </c>
      <c r="G483" s="0" t="n">
        <v>199</v>
      </c>
      <c r="H483" s="0" t="n">
        <v>15</v>
      </c>
      <c r="I483" s="3" t="s">
        <v>223</v>
      </c>
      <c r="J483" s="0" t="n">
        <v>5</v>
      </c>
      <c r="K483" s="3" t="s">
        <v>21</v>
      </c>
      <c r="L483" s="0" t="str">
        <f aca="false">VLOOKUP(D483,Products!$A$2:$D$13,2,FALSE())</f>
        <v>Home</v>
      </c>
      <c r="M483" s="3" t="n">
        <f aca="false">F483*G483*(1-H483/100)</f>
        <v>1014.9</v>
      </c>
      <c r="N483" s="0" t="str">
        <f aca="false">VLOOKUP(I483,Customers!$A$2:$D$121,3,FALSE())</f>
        <v>Jaipur</v>
      </c>
      <c r="O483" s="0" t="str">
        <f aca="false">VLOOKUP(I483,Customers!$A$2:$D$121,4,FALSE())</f>
        <v>Student</v>
      </c>
      <c r="P483" s="0" t="str">
        <f aca="false">TEXT(B483,"yyyy-mm")</f>
        <v>2025-04</v>
      </c>
    </row>
    <row r="484" customFormat="false" ht="15" hidden="false" customHeight="false" outlineLevel="0" collapsed="false">
      <c r="A484" s="0" t="s">
        <v>648</v>
      </c>
      <c r="B484" s="2" t="n">
        <v>45907</v>
      </c>
      <c r="C484" s="3" t="s">
        <v>72</v>
      </c>
      <c r="D484" s="3" t="s">
        <v>41</v>
      </c>
      <c r="E484" s="3" t="s">
        <v>89</v>
      </c>
      <c r="F484" s="0" t="n">
        <v>4</v>
      </c>
      <c r="G484" s="0" t="n">
        <v>399</v>
      </c>
      <c r="H484" s="0" t="n">
        <v>0</v>
      </c>
      <c r="I484" s="3" t="s">
        <v>77</v>
      </c>
      <c r="J484" s="0" t="n">
        <v>4</v>
      </c>
      <c r="K484" s="3" t="s">
        <v>26</v>
      </c>
      <c r="L484" s="0" t="str">
        <f aca="false">VLOOKUP(D484,Products!$A$2:$D$13,2,FALSE())</f>
        <v>Electronics</v>
      </c>
      <c r="M484" s="3" t="n">
        <f aca="false">F484*G484*(1-H484/100)</f>
        <v>1596</v>
      </c>
      <c r="N484" s="0" t="str">
        <f aca="false">VLOOKUP(I484,Customers!$A$2:$D$121,3,FALSE())</f>
        <v>Chennai</v>
      </c>
      <c r="O484" s="0" t="str">
        <f aca="false">VLOOKUP(I484,Customers!$A$2:$D$121,4,FALSE())</f>
        <v>Student</v>
      </c>
      <c r="P484" s="0" t="str">
        <f aca="false">TEXT(B484,"yyyy-mm")</f>
        <v>2025-09</v>
      </c>
    </row>
    <row r="485" customFormat="false" ht="15" hidden="false" customHeight="false" outlineLevel="0" collapsed="false">
      <c r="A485" s="0" t="s">
        <v>649</v>
      </c>
      <c r="B485" s="2" t="n">
        <v>45974</v>
      </c>
      <c r="C485" s="3" t="s">
        <v>72</v>
      </c>
      <c r="D485" s="3" t="s">
        <v>108</v>
      </c>
      <c r="E485" s="3" t="s">
        <v>89</v>
      </c>
      <c r="F485" s="0" t="n">
        <v>2</v>
      </c>
      <c r="G485" s="0" t="n">
        <v>180</v>
      </c>
      <c r="H485" s="0" t="n">
        <v>0</v>
      </c>
      <c r="I485" s="3" t="s">
        <v>195</v>
      </c>
      <c r="J485" s="0" t="n">
        <v>4</v>
      </c>
      <c r="K485" s="3" t="s">
        <v>26</v>
      </c>
      <c r="L485" s="0" t="str">
        <f aca="false">VLOOKUP(D485,Products!$A$2:$D$13,2,FALSE())</f>
        <v>Stationery</v>
      </c>
      <c r="M485" s="3" t="n">
        <f aca="false">F485*G485*(1-H485/100)</f>
        <v>360</v>
      </c>
      <c r="N485" s="0" t="str">
        <f aca="false">VLOOKUP(I485,Customers!$A$2:$D$121,3,FALSE())</f>
        <v>Pune</v>
      </c>
      <c r="O485" s="0" t="str">
        <f aca="false">VLOOKUP(I485,Customers!$A$2:$D$121,4,FALSE())</f>
        <v>Student</v>
      </c>
      <c r="P485" s="0" t="str">
        <f aca="false">TEXT(B485,"yyyy-mm")</f>
        <v>2025-11</v>
      </c>
    </row>
    <row r="486" customFormat="false" ht="15" hidden="false" customHeight="false" outlineLevel="0" collapsed="false">
      <c r="A486" s="0" t="s">
        <v>650</v>
      </c>
      <c r="B486" s="2" t="n">
        <v>45956</v>
      </c>
      <c r="C486" s="3" t="s">
        <v>36</v>
      </c>
      <c r="D486" s="3" t="s">
        <v>32</v>
      </c>
      <c r="E486" s="3" t="s">
        <v>69</v>
      </c>
      <c r="F486" s="0" t="n">
        <v>2</v>
      </c>
      <c r="G486" s="0" t="n">
        <v>249</v>
      </c>
      <c r="H486" s="0" t="n">
        <v>15</v>
      </c>
      <c r="I486" s="3" t="s">
        <v>96</v>
      </c>
      <c r="J486" s="0" t="n">
        <v>5</v>
      </c>
      <c r="K486" s="3" t="s">
        <v>21</v>
      </c>
      <c r="L486" s="0" t="str">
        <f aca="false">VLOOKUP(D486,Products!$A$2:$D$13,2,FALSE())</f>
        <v>Accessories</v>
      </c>
      <c r="M486" s="3" t="n">
        <f aca="false">F486*G486*(1-H486/100)</f>
        <v>423.3</v>
      </c>
      <c r="N486" s="0" t="str">
        <f aca="false">VLOOKUP(I486,Customers!$A$2:$D$121,3,FALSE())</f>
        <v>Delhi</v>
      </c>
      <c r="O486" s="0" t="str">
        <f aca="false">VLOOKUP(I486,Customers!$A$2:$D$121,4,FALSE())</f>
        <v>Retail</v>
      </c>
      <c r="P486" s="0" t="str">
        <f aca="false">TEXT(B486,"yyyy-mm")</f>
        <v>2025-10</v>
      </c>
    </row>
    <row r="487" customFormat="false" ht="15" hidden="false" customHeight="false" outlineLevel="0" collapsed="false">
      <c r="A487" s="0" t="s">
        <v>651</v>
      </c>
      <c r="B487" s="2" t="n">
        <v>45781</v>
      </c>
      <c r="C487" s="3" t="s">
        <v>36</v>
      </c>
      <c r="D487" s="3" t="s">
        <v>57</v>
      </c>
      <c r="E487" s="3" t="s">
        <v>38</v>
      </c>
      <c r="F487" s="0" t="n">
        <v>1</v>
      </c>
      <c r="G487" s="0" t="n">
        <v>549</v>
      </c>
      <c r="H487" s="0" t="n">
        <v>0</v>
      </c>
      <c r="I487" s="3" t="s">
        <v>346</v>
      </c>
      <c r="J487" s="0" t="n">
        <v>4</v>
      </c>
      <c r="K487" s="3" t="s">
        <v>21</v>
      </c>
      <c r="L487" s="0" t="str">
        <f aca="false">VLOOKUP(D487,Products!$A$2:$D$13,2,FALSE())</f>
        <v>Accessories</v>
      </c>
      <c r="M487" s="3" t="n">
        <f aca="false">F487*G487*(1-H487/100)</f>
        <v>549</v>
      </c>
      <c r="N487" s="0" t="str">
        <f aca="false">VLOOKUP(I487,Customers!$A$2:$D$121,3,FALSE())</f>
        <v>Delhi</v>
      </c>
      <c r="O487" s="0" t="str">
        <f aca="false">VLOOKUP(I487,Customers!$A$2:$D$121,4,FALSE())</f>
        <v>Student</v>
      </c>
      <c r="P487" s="0" t="str">
        <f aca="false">TEXT(B487,"yyyy-mm")</f>
        <v>2025-05</v>
      </c>
    </row>
    <row r="488" customFormat="false" ht="15" hidden="false" customHeight="false" outlineLevel="0" collapsed="false">
      <c r="A488" s="0" t="s">
        <v>652</v>
      </c>
      <c r="B488" s="2" t="n">
        <v>45850</v>
      </c>
      <c r="C488" s="3" t="s">
        <v>36</v>
      </c>
      <c r="D488" s="3" t="s">
        <v>108</v>
      </c>
      <c r="E488" s="3" t="s">
        <v>38</v>
      </c>
      <c r="F488" s="0" t="n">
        <v>1</v>
      </c>
      <c r="G488" s="0" t="n">
        <v>180</v>
      </c>
      <c r="H488" s="0" t="n">
        <v>0</v>
      </c>
      <c r="I488" s="3" t="s">
        <v>104</v>
      </c>
      <c r="J488" s="0" t="n">
        <v>1</v>
      </c>
      <c r="K488" s="3" t="s">
        <v>34</v>
      </c>
      <c r="L488" s="0" t="str">
        <f aca="false">VLOOKUP(D488,Products!$A$2:$D$13,2,FALSE())</f>
        <v>Stationery</v>
      </c>
      <c r="M488" s="3" t="n">
        <f aca="false">F488*G488*(1-H488/100)</f>
        <v>180</v>
      </c>
      <c r="N488" s="0" t="str">
        <f aca="false">VLOOKUP(I488,Customers!$A$2:$D$121,3,FALSE())</f>
        <v>Lucknow</v>
      </c>
      <c r="O488" s="0" t="str">
        <f aca="false">VLOOKUP(I488,Customers!$A$2:$D$121,4,FALSE())</f>
        <v>Student</v>
      </c>
      <c r="P488" s="0" t="str">
        <f aca="false">TEXT(B488,"yyyy-mm")</f>
        <v>2025-07</v>
      </c>
    </row>
    <row r="489" customFormat="false" ht="15" hidden="false" customHeight="false" outlineLevel="0" collapsed="false">
      <c r="A489" s="0" t="s">
        <v>653</v>
      </c>
      <c r="B489" s="2" t="n">
        <v>45888</v>
      </c>
      <c r="C489" s="3" t="s">
        <v>36</v>
      </c>
      <c r="D489" s="3" t="s">
        <v>48</v>
      </c>
      <c r="E489" s="3" t="s">
        <v>69</v>
      </c>
      <c r="F489" s="0" t="n">
        <v>2</v>
      </c>
      <c r="G489" s="0" t="n">
        <v>199</v>
      </c>
      <c r="H489" s="0" t="n">
        <v>0</v>
      </c>
      <c r="I489" s="3" t="s">
        <v>426</v>
      </c>
      <c r="J489" s="0" t="n">
        <v>4</v>
      </c>
      <c r="K489" s="3" t="s">
        <v>21</v>
      </c>
      <c r="L489" s="0" t="str">
        <f aca="false">VLOOKUP(D489,Products!$A$2:$D$13,2,FALSE())</f>
        <v>Home</v>
      </c>
      <c r="M489" s="3" t="n">
        <f aca="false">F489*G489*(1-H489/100)</f>
        <v>398</v>
      </c>
      <c r="N489" s="0" t="str">
        <f aca="false">VLOOKUP(I489,Customers!$A$2:$D$121,3,FALSE())</f>
        <v>Bhopal</v>
      </c>
      <c r="O489" s="0" t="str">
        <f aca="false">VLOOKUP(I489,Customers!$A$2:$D$121,4,FALSE())</f>
        <v>Corporate</v>
      </c>
      <c r="P489" s="0" t="str">
        <f aca="false">TEXT(B489,"yyyy-mm")</f>
        <v>2025-08</v>
      </c>
    </row>
    <row r="490" customFormat="false" ht="15" hidden="false" customHeight="false" outlineLevel="0" collapsed="false">
      <c r="A490" s="0" t="s">
        <v>654</v>
      </c>
      <c r="B490" s="2" t="n">
        <v>45871</v>
      </c>
      <c r="C490" s="3" t="s">
        <v>17</v>
      </c>
      <c r="D490" s="3" t="s">
        <v>18</v>
      </c>
      <c r="E490" s="3" t="s">
        <v>19</v>
      </c>
      <c r="F490" s="0" t="n">
        <v>1</v>
      </c>
      <c r="G490" s="0" t="n">
        <v>349</v>
      </c>
      <c r="H490" s="0" t="n">
        <v>0</v>
      </c>
      <c r="I490" s="3" t="s">
        <v>96</v>
      </c>
      <c r="J490" s="0" t="n">
        <v>4</v>
      </c>
      <c r="K490" s="3" t="s">
        <v>43</v>
      </c>
      <c r="L490" s="0" t="str">
        <f aca="false">VLOOKUP(D490,Products!$A$2:$D$13,2,FALSE())</f>
        <v>Home</v>
      </c>
      <c r="M490" s="3" t="n">
        <f aca="false">F490*G490*(1-H490/100)</f>
        <v>349</v>
      </c>
      <c r="N490" s="0" t="str">
        <f aca="false">VLOOKUP(I490,Customers!$A$2:$D$121,3,FALSE())</f>
        <v>Delhi</v>
      </c>
      <c r="O490" s="0" t="str">
        <f aca="false">VLOOKUP(I490,Customers!$A$2:$D$121,4,FALSE())</f>
        <v>Retail</v>
      </c>
      <c r="P490" s="0" t="str">
        <f aca="false">TEXT(B490,"yyyy-mm")</f>
        <v>2025-08</v>
      </c>
    </row>
    <row r="491" customFormat="false" ht="15" hidden="false" customHeight="false" outlineLevel="0" collapsed="false">
      <c r="A491" s="0" t="s">
        <v>655</v>
      </c>
      <c r="B491" s="2" t="n">
        <v>45927</v>
      </c>
      <c r="C491" s="3" t="s">
        <v>23</v>
      </c>
      <c r="D491" s="3" t="s">
        <v>116</v>
      </c>
      <c r="E491" s="3" t="s">
        <v>29</v>
      </c>
      <c r="F491" s="0" t="n">
        <v>2</v>
      </c>
      <c r="G491" s="0" t="n">
        <v>699</v>
      </c>
      <c r="H491" s="0" t="n">
        <v>0</v>
      </c>
      <c r="I491" s="3" t="s">
        <v>359</v>
      </c>
      <c r="J491" s="0" t="n">
        <v>5</v>
      </c>
      <c r="K491" s="3" t="s">
        <v>21</v>
      </c>
      <c r="L491" s="0" t="str">
        <f aca="false">VLOOKUP(D491,Products!$A$2:$D$13,2,FALSE())</f>
        <v>Home</v>
      </c>
      <c r="M491" s="3" t="n">
        <f aca="false">F491*G491*(1-H491/100)</f>
        <v>1398</v>
      </c>
      <c r="N491" s="0" t="str">
        <f aca="false">VLOOKUP(I491,Customers!$A$2:$D$121,3,FALSE())</f>
        <v>Mumbai</v>
      </c>
      <c r="O491" s="0" t="str">
        <f aca="false">VLOOKUP(I491,Customers!$A$2:$D$121,4,FALSE())</f>
        <v>Retail</v>
      </c>
      <c r="P491" s="0" t="str">
        <f aca="false">TEXT(B491,"yyyy-mm")</f>
        <v>2025-09</v>
      </c>
    </row>
    <row r="492" customFormat="false" ht="15" hidden="false" customHeight="false" outlineLevel="0" collapsed="false">
      <c r="A492" s="0" t="s">
        <v>656</v>
      </c>
      <c r="B492" s="2" t="n">
        <v>45945</v>
      </c>
      <c r="C492" s="3" t="s">
        <v>17</v>
      </c>
      <c r="D492" s="3" t="s">
        <v>37</v>
      </c>
      <c r="E492" s="3" t="s">
        <v>19</v>
      </c>
      <c r="F492" s="0" t="n">
        <v>1</v>
      </c>
      <c r="G492" s="0" t="n">
        <v>500</v>
      </c>
      <c r="H492" s="0" t="n">
        <v>0</v>
      </c>
      <c r="I492" s="3" t="s">
        <v>359</v>
      </c>
      <c r="J492" s="0" t="n">
        <v>5</v>
      </c>
      <c r="K492" s="3" t="s">
        <v>26</v>
      </c>
      <c r="L492" s="0" t="str">
        <f aca="false">VLOOKUP(D492,Products!$A$2:$D$13,2,FALSE())</f>
        <v>Electronics</v>
      </c>
      <c r="M492" s="3" t="n">
        <f aca="false">F492*G492*(1-H492/100)</f>
        <v>500</v>
      </c>
      <c r="N492" s="0" t="str">
        <f aca="false">VLOOKUP(I492,Customers!$A$2:$D$121,3,FALSE())</f>
        <v>Mumbai</v>
      </c>
      <c r="O492" s="0" t="str">
        <f aca="false">VLOOKUP(I492,Customers!$A$2:$D$121,4,FALSE())</f>
        <v>Retail</v>
      </c>
      <c r="P492" s="0" t="str">
        <f aca="false">TEXT(B492,"yyyy-mm")</f>
        <v>2025-10</v>
      </c>
    </row>
    <row r="493" customFormat="false" ht="15" hidden="false" customHeight="false" outlineLevel="0" collapsed="false">
      <c r="A493" s="0" t="s">
        <v>657</v>
      </c>
      <c r="B493" s="2" t="n">
        <v>46094</v>
      </c>
      <c r="C493" s="3" t="s">
        <v>36</v>
      </c>
      <c r="D493" s="3" t="s">
        <v>18</v>
      </c>
      <c r="E493" s="3" t="s">
        <v>38</v>
      </c>
      <c r="F493" s="0" t="n">
        <v>7</v>
      </c>
      <c r="G493" s="0" t="n">
        <v>349</v>
      </c>
      <c r="H493" s="0" t="n">
        <v>0</v>
      </c>
      <c r="I493" s="3" t="s">
        <v>195</v>
      </c>
      <c r="J493" s="0" t="n">
        <v>4</v>
      </c>
      <c r="K493" s="3" t="s">
        <v>21</v>
      </c>
      <c r="L493" s="0" t="str">
        <f aca="false">VLOOKUP(D493,Products!$A$2:$D$13,2,FALSE())</f>
        <v>Home</v>
      </c>
      <c r="M493" s="3" t="n">
        <f aca="false">F493*G493*(1-H493/100)</f>
        <v>2443</v>
      </c>
      <c r="N493" s="0" t="str">
        <f aca="false">VLOOKUP(I493,Customers!$A$2:$D$121,3,FALSE())</f>
        <v>Pune</v>
      </c>
      <c r="O493" s="0" t="str">
        <f aca="false">VLOOKUP(I493,Customers!$A$2:$D$121,4,FALSE())</f>
        <v>Student</v>
      </c>
      <c r="P493" s="0" t="str">
        <f aca="false">TEXT(B493,"yyyy-mm")</f>
        <v>2026-03</v>
      </c>
    </row>
    <row r="494" customFormat="false" ht="15" hidden="false" customHeight="false" outlineLevel="0" collapsed="false">
      <c r="A494" s="0" t="s">
        <v>658</v>
      </c>
      <c r="B494" s="2" t="n">
        <v>46079</v>
      </c>
      <c r="C494" s="3" t="s">
        <v>36</v>
      </c>
      <c r="D494" s="3" t="s">
        <v>32</v>
      </c>
      <c r="E494" s="3" t="s">
        <v>38</v>
      </c>
      <c r="F494" s="0" t="n">
        <v>8</v>
      </c>
      <c r="G494" s="0" t="n">
        <v>249</v>
      </c>
      <c r="H494" s="0" t="n">
        <v>0</v>
      </c>
      <c r="I494" s="3" t="s">
        <v>70</v>
      </c>
      <c r="J494" s="0" t="n">
        <v>5</v>
      </c>
      <c r="K494" s="3" t="s">
        <v>34</v>
      </c>
      <c r="L494" s="0" t="str">
        <f aca="false">VLOOKUP(D494,Products!$A$2:$D$13,2,FALSE())</f>
        <v>Accessories</v>
      </c>
      <c r="M494" s="3" t="n">
        <f aca="false">F494*G494*(1-H494/100)</f>
        <v>1992</v>
      </c>
      <c r="N494" s="0" t="str">
        <f aca="false">VLOOKUP(I494,Customers!$A$2:$D$121,3,FALSE())</f>
        <v>Bhopal</v>
      </c>
      <c r="O494" s="0" t="str">
        <f aca="false">VLOOKUP(I494,Customers!$A$2:$D$121,4,FALSE())</f>
        <v>Retail</v>
      </c>
      <c r="P494" s="0" t="str">
        <f aca="false">TEXT(B494,"yyyy-mm")</f>
        <v>2026-02</v>
      </c>
    </row>
    <row r="495" customFormat="false" ht="15" hidden="false" customHeight="false" outlineLevel="0" collapsed="false">
      <c r="A495" s="0" t="s">
        <v>659</v>
      </c>
      <c r="B495" s="2" t="n">
        <v>46112</v>
      </c>
      <c r="C495" s="3" t="s">
        <v>72</v>
      </c>
      <c r="D495" s="3" t="s">
        <v>116</v>
      </c>
      <c r="E495" s="3" t="s">
        <v>73</v>
      </c>
      <c r="F495" s="0" t="n">
        <v>3</v>
      </c>
      <c r="G495" s="0" t="n">
        <v>699</v>
      </c>
      <c r="H495" s="0" t="n">
        <v>15</v>
      </c>
      <c r="I495" s="3" t="s">
        <v>227</v>
      </c>
      <c r="J495" s="0" t="n">
        <v>3</v>
      </c>
      <c r="K495" s="3" t="s">
        <v>34</v>
      </c>
      <c r="L495" s="0" t="str">
        <f aca="false">VLOOKUP(D495,Products!$A$2:$D$13,2,FALSE())</f>
        <v>Home</v>
      </c>
      <c r="M495" s="3" t="n">
        <f aca="false">F495*G495*(1-H495/100)</f>
        <v>1782.45</v>
      </c>
      <c r="N495" s="0" t="str">
        <f aca="false">VLOOKUP(I495,Customers!$A$2:$D$121,3,FALSE())</f>
        <v>Kolkata</v>
      </c>
      <c r="O495" s="0" t="str">
        <f aca="false">VLOOKUP(I495,Customers!$A$2:$D$121,4,FALSE())</f>
        <v>Corporate</v>
      </c>
      <c r="P495" s="0" t="str">
        <f aca="false">TEXT(B495,"yyyy-mm")</f>
        <v>2026-03</v>
      </c>
    </row>
    <row r="496" customFormat="false" ht="15" hidden="false" customHeight="false" outlineLevel="0" collapsed="false">
      <c r="A496" s="0" t="s">
        <v>660</v>
      </c>
      <c r="B496" s="2" t="n">
        <v>45859</v>
      </c>
      <c r="C496" s="3" t="s">
        <v>72</v>
      </c>
      <c r="D496" s="3" t="s">
        <v>32</v>
      </c>
      <c r="E496" s="3" t="s">
        <v>73</v>
      </c>
      <c r="F496" s="0" t="n">
        <v>2</v>
      </c>
      <c r="G496" s="0" t="n">
        <v>249</v>
      </c>
      <c r="H496" s="0" t="n">
        <v>5</v>
      </c>
      <c r="I496" s="3" t="s">
        <v>217</v>
      </c>
      <c r="J496" s="0" t="n">
        <v>4</v>
      </c>
      <c r="K496" s="3" t="s">
        <v>21</v>
      </c>
      <c r="L496" s="0" t="str">
        <f aca="false">VLOOKUP(D496,Products!$A$2:$D$13,2,FALSE())</f>
        <v>Accessories</v>
      </c>
      <c r="M496" s="3" t="n">
        <f aca="false">F496*G496*(1-H496/100)</f>
        <v>473.1</v>
      </c>
      <c r="N496" s="0" t="str">
        <f aca="false">VLOOKUP(I496,Customers!$A$2:$D$121,3,FALSE())</f>
        <v>Nagpur</v>
      </c>
      <c r="O496" s="0" t="str">
        <f aca="false">VLOOKUP(I496,Customers!$A$2:$D$121,4,FALSE())</f>
        <v>Student</v>
      </c>
      <c r="P496" s="0" t="str">
        <f aca="false">TEXT(B496,"yyyy-mm")</f>
        <v>2025-07</v>
      </c>
    </row>
    <row r="497" customFormat="false" ht="15" hidden="false" customHeight="false" outlineLevel="0" collapsed="false">
      <c r="A497" s="0" t="s">
        <v>661</v>
      </c>
      <c r="B497" s="2" t="n">
        <v>46087</v>
      </c>
      <c r="C497" s="3" t="s">
        <v>23</v>
      </c>
      <c r="D497" s="3" t="s">
        <v>60</v>
      </c>
      <c r="E497" s="3" t="s">
        <v>29</v>
      </c>
      <c r="F497" s="0" t="n">
        <v>1</v>
      </c>
      <c r="G497" s="0" t="n">
        <v>40</v>
      </c>
      <c r="H497" s="0" t="n">
        <v>0</v>
      </c>
      <c r="I497" s="3" t="s">
        <v>30</v>
      </c>
      <c r="J497" s="0" t="n">
        <v>4</v>
      </c>
      <c r="K497" s="3" t="s">
        <v>34</v>
      </c>
      <c r="L497" s="0" t="str">
        <f aca="false">VLOOKUP(D497,Products!$A$2:$D$13,2,FALSE())</f>
        <v>Stationery</v>
      </c>
      <c r="M497" s="3" t="n">
        <f aca="false">F497*G497*(1-H497/100)</f>
        <v>40</v>
      </c>
      <c r="N497" s="0" t="str">
        <f aca="false">VLOOKUP(I497,Customers!$A$2:$D$121,3,FALSE())</f>
        <v>Chennai</v>
      </c>
      <c r="O497" s="0" t="str">
        <f aca="false">VLOOKUP(I497,Customers!$A$2:$D$121,4,FALSE())</f>
        <v>Student</v>
      </c>
      <c r="P497" s="0" t="str">
        <f aca="false">TEXT(B497,"yyyy-mm")</f>
        <v>2026-03</v>
      </c>
    </row>
    <row r="498" customFormat="false" ht="15" hidden="false" customHeight="false" outlineLevel="0" collapsed="false">
      <c r="A498" s="0" t="s">
        <v>662</v>
      </c>
      <c r="B498" s="2" t="n">
        <v>45994</v>
      </c>
      <c r="C498" s="3" t="s">
        <v>17</v>
      </c>
      <c r="D498" s="3" t="s">
        <v>18</v>
      </c>
      <c r="E498" s="3" t="s">
        <v>93</v>
      </c>
      <c r="F498" s="0" t="n">
        <v>3</v>
      </c>
      <c r="G498" s="0" t="n">
        <v>349</v>
      </c>
      <c r="H498" s="0" t="n">
        <v>0</v>
      </c>
      <c r="I498" s="3" t="s">
        <v>309</v>
      </c>
      <c r="J498" s="0" t="n">
        <v>5</v>
      </c>
      <c r="K498" s="3" t="s">
        <v>34</v>
      </c>
      <c r="L498" s="0" t="str">
        <f aca="false">VLOOKUP(D498,Products!$A$2:$D$13,2,FALSE())</f>
        <v>Home</v>
      </c>
      <c r="M498" s="3" t="n">
        <f aca="false">F498*G498*(1-H498/100)</f>
        <v>1047</v>
      </c>
      <c r="N498" s="0" t="str">
        <f aca="false">VLOOKUP(I498,Customers!$A$2:$D$121,3,FALSE())</f>
        <v>Delhi</v>
      </c>
      <c r="O498" s="0" t="str">
        <f aca="false">VLOOKUP(I498,Customers!$A$2:$D$121,4,FALSE())</f>
        <v>Student</v>
      </c>
      <c r="P498" s="0" t="str">
        <f aca="false">TEXT(B498,"yyyy-mm")</f>
        <v>2025-12</v>
      </c>
    </row>
    <row r="499" customFormat="false" ht="15" hidden="false" customHeight="false" outlineLevel="0" collapsed="false">
      <c r="A499" s="0" t="s">
        <v>663</v>
      </c>
      <c r="B499" s="2" t="n">
        <v>45844</v>
      </c>
      <c r="C499" s="3" t="s">
        <v>72</v>
      </c>
      <c r="D499" s="3" t="s">
        <v>37</v>
      </c>
      <c r="E499" s="3" t="s">
        <v>89</v>
      </c>
      <c r="F499" s="0" t="n">
        <v>2</v>
      </c>
      <c r="G499" s="0" t="n">
        <v>500</v>
      </c>
      <c r="H499" s="0" t="n">
        <v>0</v>
      </c>
      <c r="I499" s="3" t="s">
        <v>234</v>
      </c>
      <c r="J499" s="0" t="n">
        <v>5</v>
      </c>
      <c r="K499" s="3" t="s">
        <v>43</v>
      </c>
      <c r="L499" s="0" t="str">
        <f aca="false">VLOOKUP(D499,Products!$A$2:$D$13,2,FALSE())</f>
        <v>Electronics</v>
      </c>
      <c r="M499" s="3" t="n">
        <f aca="false">F499*G499*(1-H499/100)</f>
        <v>1000</v>
      </c>
      <c r="N499" s="0" t="str">
        <f aca="false">VLOOKUP(I499,Customers!$A$2:$D$121,3,FALSE())</f>
        <v>Indore</v>
      </c>
      <c r="O499" s="0" t="str">
        <f aca="false">VLOOKUP(I499,Customers!$A$2:$D$121,4,FALSE())</f>
        <v>Retail</v>
      </c>
      <c r="P499" s="0" t="str">
        <f aca="false">TEXT(B499,"yyyy-mm")</f>
        <v>2025-07</v>
      </c>
    </row>
    <row r="500" customFormat="false" ht="15" hidden="false" customHeight="false" outlineLevel="0" collapsed="false">
      <c r="A500" s="0" t="s">
        <v>664</v>
      </c>
      <c r="B500" s="2" t="n">
        <v>46096</v>
      </c>
      <c r="C500" s="3" t="s">
        <v>72</v>
      </c>
      <c r="D500" s="3" t="s">
        <v>18</v>
      </c>
      <c r="E500" s="3" t="s">
        <v>73</v>
      </c>
      <c r="F500" s="0" t="n">
        <v>1</v>
      </c>
      <c r="G500" s="0" t="n">
        <v>349</v>
      </c>
      <c r="H500" s="0" t="n">
        <v>0</v>
      </c>
      <c r="I500" s="3" t="s">
        <v>284</v>
      </c>
      <c r="J500" s="0" t="n">
        <v>1</v>
      </c>
      <c r="K500" s="3" t="s">
        <v>34</v>
      </c>
      <c r="L500" s="0" t="str">
        <f aca="false">VLOOKUP(D500,Products!$A$2:$D$13,2,FALSE())</f>
        <v>Home</v>
      </c>
      <c r="M500" s="3" t="n">
        <f aca="false">F500*G500*(1-H500/100)</f>
        <v>349</v>
      </c>
      <c r="N500" s="0" t="str">
        <f aca="false">VLOOKUP(I500,Customers!$A$2:$D$121,3,FALSE())</f>
        <v>Jaipur</v>
      </c>
      <c r="O500" s="0" t="str">
        <f aca="false">VLOOKUP(I500,Customers!$A$2:$D$121,4,FALSE())</f>
        <v>Retail</v>
      </c>
      <c r="P500" s="0" t="str">
        <f aca="false">TEXT(B500,"yyyy-mm")</f>
        <v>2026-03</v>
      </c>
    </row>
    <row r="501" customFormat="false" ht="15" hidden="false" customHeight="false" outlineLevel="0" collapsed="false">
      <c r="A501" s="0" t="s">
        <v>665</v>
      </c>
      <c r="B501" s="2" t="n">
        <v>45955</v>
      </c>
      <c r="C501" s="3" t="s">
        <v>51</v>
      </c>
      <c r="D501" s="3" t="s">
        <v>37</v>
      </c>
      <c r="E501" s="3" t="s">
        <v>52</v>
      </c>
      <c r="F501" s="0" t="n">
        <v>5</v>
      </c>
      <c r="G501" s="0" t="n">
        <v>500</v>
      </c>
      <c r="H501" s="0" t="n">
        <v>5</v>
      </c>
      <c r="I501" s="3" t="s">
        <v>219</v>
      </c>
      <c r="J501" s="0" t="n">
        <v>1</v>
      </c>
      <c r="K501" s="3" t="s">
        <v>34</v>
      </c>
      <c r="L501" s="0" t="str">
        <f aca="false">VLOOKUP(D501,Products!$A$2:$D$13,2,FALSE())</f>
        <v>Electronics</v>
      </c>
      <c r="M501" s="3" t="n">
        <f aca="false">F501*G501*(1-H501/100)</f>
        <v>2375</v>
      </c>
      <c r="N501" s="0" t="str">
        <f aca="false">VLOOKUP(I501,Customers!$A$2:$D$121,3,FALSE())</f>
        <v>Chennai</v>
      </c>
      <c r="O501" s="0" t="str">
        <f aca="false">VLOOKUP(I501,Customers!$A$2:$D$121,4,FALSE())</f>
        <v>Retail</v>
      </c>
      <c r="P501" s="0" t="str">
        <f aca="false">TEXT(B501,"yyyy-mm")</f>
        <v>2025-10</v>
      </c>
    </row>
    <row r="502" customFormat="false" ht="15" hidden="false" customHeight="false" outlineLevel="0" collapsed="false">
      <c r="A502" s="0" t="s">
        <v>666</v>
      </c>
      <c r="B502" s="2" t="n">
        <v>46099</v>
      </c>
      <c r="C502" s="3" t="s">
        <v>36</v>
      </c>
      <c r="D502" s="3" t="s">
        <v>48</v>
      </c>
      <c r="E502" s="3" t="s">
        <v>69</v>
      </c>
      <c r="F502" s="0" t="n">
        <v>3</v>
      </c>
      <c r="G502" s="0" t="n">
        <v>199</v>
      </c>
      <c r="H502" s="0" t="n">
        <v>10</v>
      </c>
      <c r="I502" s="3" t="s">
        <v>53</v>
      </c>
      <c r="J502" s="0" t="n">
        <v>5</v>
      </c>
      <c r="K502" s="3" t="s">
        <v>34</v>
      </c>
      <c r="L502" s="0" t="str">
        <f aca="false">VLOOKUP(D502,Products!$A$2:$D$13,2,FALSE())</f>
        <v>Home</v>
      </c>
      <c r="M502" s="3" t="n">
        <f aca="false">F502*G502*(1-H502/100)</f>
        <v>537.3</v>
      </c>
      <c r="N502" s="0" t="str">
        <f aca="false">VLOOKUP(I502,Customers!$A$2:$D$121,3,FALSE())</f>
        <v>Nagpur</v>
      </c>
      <c r="O502" s="0" t="str">
        <f aca="false">VLOOKUP(I502,Customers!$A$2:$D$121,4,FALSE())</f>
        <v>Retail</v>
      </c>
      <c r="P502" s="0" t="str">
        <f aca="false">TEXT(B502,"yyyy-mm")</f>
        <v>2026-03</v>
      </c>
    </row>
    <row r="503" customFormat="false" ht="15" hidden="false" customHeight="false" outlineLevel="0" collapsed="false">
      <c r="A503" s="0" t="s">
        <v>667</v>
      </c>
      <c r="B503" s="2" t="n">
        <v>45840</v>
      </c>
      <c r="C503" s="3" t="s">
        <v>23</v>
      </c>
      <c r="D503" s="3" t="s">
        <v>108</v>
      </c>
      <c r="E503" s="3" t="s">
        <v>29</v>
      </c>
      <c r="F503" s="0" t="n">
        <v>6</v>
      </c>
      <c r="G503" s="0" t="n">
        <v>180</v>
      </c>
      <c r="H503" s="0" t="n">
        <v>0</v>
      </c>
      <c r="I503" s="3" t="s">
        <v>98</v>
      </c>
      <c r="J503" s="0" t="n">
        <v>4</v>
      </c>
      <c r="K503" s="3" t="s">
        <v>26</v>
      </c>
      <c r="L503" s="0" t="str">
        <f aca="false">VLOOKUP(D503,Products!$A$2:$D$13,2,FALSE())</f>
        <v>Stationery</v>
      </c>
      <c r="M503" s="3" t="n">
        <f aca="false">F503*G503*(1-H503/100)</f>
        <v>1080</v>
      </c>
      <c r="N503" s="0" t="str">
        <f aca="false">VLOOKUP(I503,Customers!$A$2:$D$121,3,FALSE())</f>
        <v>Pune</v>
      </c>
      <c r="O503" s="0" t="str">
        <f aca="false">VLOOKUP(I503,Customers!$A$2:$D$121,4,FALSE())</f>
        <v>Retail</v>
      </c>
      <c r="P503" s="0" t="str">
        <f aca="false">TEXT(B503,"yyyy-mm")</f>
        <v>2025-07</v>
      </c>
    </row>
    <row r="504" customFormat="false" ht="15" hidden="false" customHeight="false" outlineLevel="0" collapsed="false">
      <c r="A504" s="0" t="s">
        <v>668</v>
      </c>
      <c r="B504" s="2" t="n">
        <v>46083</v>
      </c>
      <c r="C504" s="3" t="s">
        <v>72</v>
      </c>
      <c r="D504" s="3" t="s">
        <v>18</v>
      </c>
      <c r="E504" s="3" t="s">
        <v>73</v>
      </c>
      <c r="F504" s="0" t="n">
        <v>3</v>
      </c>
      <c r="G504" s="0" t="n">
        <v>349</v>
      </c>
      <c r="H504" s="0" t="n">
        <v>0</v>
      </c>
      <c r="I504" s="3" t="s">
        <v>203</v>
      </c>
      <c r="J504" s="0" t="n">
        <v>4</v>
      </c>
      <c r="K504" s="3" t="s">
        <v>43</v>
      </c>
      <c r="L504" s="0" t="str">
        <f aca="false">VLOOKUP(D504,Products!$A$2:$D$13,2,FALSE())</f>
        <v>Home</v>
      </c>
      <c r="M504" s="3" t="n">
        <f aca="false">F504*G504*(1-H504/100)</f>
        <v>1047</v>
      </c>
      <c r="N504" s="0" t="str">
        <f aca="false">VLOOKUP(I504,Customers!$A$2:$D$121,3,FALSE())</f>
        <v>Jaipur</v>
      </c>
      <c r="O504" s="0" t="str">
        <f aca="false">VLOOKUP(I504,Customers!$A$2:$D$121,4,FALSE())</f>
        <v>Corporate</v>
      </c>
      <c r="P504" s="0" t="str">
        <f aca="false">TEXT(B504,"yyyy-mm")</f>
        <v>2026-03</v>
      </c>
    </row>
    <row r="505" customFormat="false" ht="15" hidden="false" customHeight="false" outlineLevel="0" collapsed="false">
      <c r="A505" s="0" t="s">
        <v>669</v>
      </c>
      <c r="B505" s="2" t="n">
        <v>45881</v>
      </c>
      <c r="C505" s="3" t="s">
        <v>72</v>
      </c>
      <c r="D505" s="3" t="s">
        <v>41</v>
      </c>
      <c r="E505" s="3" t="s">
        <v>89</v>
      </c>
      <c r="F505" s="0" t="n">
        <v>2</v>
      </c>
      <c r="G505" s="0" t="n">
        <v>399</v>
      </c>
      <c r="H505" s="0" t="n">
        <v>10</v>
      </c>
      <c r="I505" s="3" t="s">
        <v>246</v>
      </c>
      <c r="J505" s="0" t="n">
        <v>4</v>
      </c>
      <c r="K505" s="3" t="s">
        <v>43</v>
      </c>
      <c r="L505" s="0" t="str">
        <f aca="false">VLOOKUP(D505,Products!$A$2:$D$13,2,FALSE())</f>
        <v>Electronics</v>
      </c>
      <c r="M505" s="3" t="n">
        <f aca="false">F505*G505*(1-H505/100)</f>
        <v>718.2</v>
      </c>
      <c r="N505" s="0" t="str">
        <f aca="false">VLOOKUP(I505,Customers!$A$2:$D$121,3,FALSE())</f>
        <v>Pune</v>
      </c>
      <c r="O505" s="0" t="str">
        <f aca="false">VLOOKUP(I505,Customers!$A$2:$D$121,4,FALSE())</f>
        <v>Student</v>
      </c>
      <c r="P505" s="0" t="str">
        <f aca="false">TEXT(B505,"yyyy-mm")</f>
        <v>2025-08</v>
      </c>
    </row>
    <row r="506" customFormat="false" ht="15" hidden="false" customHeight="false" outlineLevel="0" collapsed="false">
      <c r="A506" s="0" t="s">
        <v>670</v>
      </c>
      <c r="B506" s="2" t="n">
        <v>46045</v>
      </c>
      <c r="C506" s="3" t="s">
        <v>23</v>
      </c>
      <c r="D506" s="3" t="s">
        <v>60</v>
      </c>
      <c r="E506" s="3" t="s">
        <v>24</v>
      </c>
      <c r="F506" s="0" t="n">
        <v>1</v>
      </c>
      <c r="G506" s="0" t="n">
        <v>40</v>
      </c>
      <c r="H506" s="0" t="n">
        <v>10</v>
      </c>
      <c r="I506" s="3" t="s">
        <v>225</v>
      </c>
      <c r="J506" s="0" t="n">
        <v>4</v>
      </c>
      <c r="K506" s="3" t="s">
        <v>21</v>
      </c>
      <c r="L506" s="0" t="str">
        <f aca="false">VLOOKUP(D506,Products!$A$2:$D$13,2,FALSE())</f>
        <v>Stationery</v>
      </c>
      <c r="M506" s="3" t="n">
        <f aca="false">F506*G506*(1-H506/100)</f>
        <v>36</v>
      </c>
      <c r="N506" s="0" t="str">
        <f aca="false">VLOOKUP(I506,Customers!$A$2:$D$121,3,FALSE())</f>
        <v>Bhopal</v>
      </c>
      <c r="O506" s="0" t="str">
        <f aca="false">VLOOKUP(I506,Customers!$A$2:$D$121,4,FALSE())</f>
        <v>Retail</v>
      </c>
      <c r="P506" s="0" t="str">
        <f aca="false">TEXT(B506,"yyyy-mm")</f>
        <v>2026-01</v>
      </c>
    </row>
    <row r="507" customFormat="false" ht="15" hidden="false" customHeight="false" outlineLevel="0" collapsed="false">
      <c r="A507" s="0" t="s">
        <v>671</v>
      </c>
      <c r="B507" s="2" t="n">
        <v>46019</v>
      </c>
      <c r="C507" s="3" t="s">
        <v>51</v>
      </c>
      <c r="D507" s="3" t="s">
        <v>18</v>
      </c>
      <c r="E507" s="3" t="s">
        <v>52</v>
      </c>
      <c r="F507" s="0" t="n">
        <v>5</v>
      </c>
      <c r="G507" s="0" t="n">
        <v>349</v>
      </c>
      <c r="H507" s="0" t="n">
        <v>0</v>
      </c>
      <c r="I507" s="3" t="s">
        <v>237</v>
      </c>
      <c r="J507" s="0" t="n">
        <v>2</v>
      </c>
      <c r="K507" s="3" t="s">
        <v>26</v>
      </c>
      <c r="L507" s="0" t="str">
        <f aca="false">VLOOKUP(D507,Products!$A$2:$D$13,2,FALSE())</f>
        <v>Home</v>
      </c>
      <c r="M507" s="3" t="n">
        <f aca="false">F507*G507*(1-H507/100)</f>
        <v>1745</v>
      </c>
      <c r="N507" s="0" t="str">
        <f aca="false">VLOOKUP(I507,Customers!$A$2:$D$121,3,FALSE())</f>
        <v>Jaipur</v>
      </c>
      <c r="O507" s="0" t="str">
        <f aca="false">VLOOKUP(I507,Customers!$A$2:$D$121,4,FALSE())</f>
        <v>Retail</v>
      </c>
      <c r="P507" s="0" t="str">
        <f aca="false">TEXT(B507,"yyyy-mm")</f>
        <v>2025-12</v>
      </c>
    </row>
    <row r="508" customFormat="false" ht="15" hidden="false" customHeight="false" outlineLevel="0" collapsed="false">
      <c r="A508" s="0" t="s">
        <v>672</v>
      </c>
      <c r="B508" s="2" t="n">
        <v>45957</v>
      </c>
      <c r="C508" s="3" t="s">
        <v>72</v>
      </c>
      <c r="D508" s="3" t="s">
        <v>28</v>
      </c>
      <c r="E508" s="3" t="s">
        <v>73</v>
      </c>
      <c r="F508" s="0" t="n">
        <v>4</v>
      </c>
      <c r="G508" s="0" t="n">
        <v>450</v>
      </c>
      <c r="H508" s="0" t="n">
        <v>10</v>
      </c>
      <c r="I508" s="3" t="s">
        <v>400</v>
      </c>
      <c r="J508" s="0" t="n">
        <v>5</v>
      </c>
      <c r="K508" s="3" t="s">
        <v>26</v>
      </c>
      <c r="L508" s="0" t="str">
        <f aca="false">VLOOKUP(D508,Products!$A$2:$D$13,2,FALSE())</f>
        <v>Electronics</v>
      </c>
      <c r="M508" s="3" t="n">
        <f aca="false">F508*G508*(1-H508/100)</f>
        <v>1620</v>
      </c>
      <c r="N508" s="0" t="str">
        <f aca="false">VLOOKUP(I508,Customers!$A$2:$D$121,3,FALSE())</f>
        <v>Lucknow</v>
      </c>
      <c r="O508" s="0" t="str">
        <f aca="false">VLOOKUP(I508,Customers!$A$2:$D$121,4,FALSE())</f>
        <v>Retail</v>
      </c>
      <c r="P508" s="0" t="str">
        <f aca="false">TEXT(B508,"yyyy-mm")</f>
        <v>2025-10</v>
      </c>
    </row>
    <row r="509" customFormat="false" ht="15" hidden="false" customHeight="false" outlineLevel="0" collapsed="false">
      <c r="A509" s="0" t="s">
        <v>673</v>
      </c>
      <c r="B509" s="2" t="n">
        <v>45789</v>
      </c>
      <c r="C509" s="3" t="s">
        <v>36</v>
      </c>
      <c r="D509" s="3" t="s">
        <v>41</v>
      </c>
      <c r="E509" s="3" t="s">
        <v>38</v>
      </c>
      <c r="F509" s="0" t="n">
        <v>1</v>
      </c>
      <c r="G509" s="0" t="n">
        <v>399</v>
      </c>
      <c r="H509" s="0" t="n">
        <v>5</v>
      </c>
      <c r="I509" s="3" t="s">
        <v>256</v>
      </c>
      <c r="J509" s="0" t="n">
        <v>4</v>
      </c>
      <c r="K509" s="3" t="s">
        <v>34</v>
      </c>
      <c r="L509" s="0" t="str">
        <f aca="false">VLOOKUP(D509,Products!$A$2:$D$13,2,FALSE())</f>
        <v>Electronics</v>
      </c>
      <c r="M509" s="3" t="n">
        <f aca="false">F509*G509*(1-H509/100)</f>
        <v>379.05</v>
      </c>
      <c r="N509" s="0" t="str">
        <f aca="false">VLOOKUP(I509,Customers!$A$2:$D$121,3,FALSE())</f>
        <v>Lucknow</v>
      </c>
      <c r="O509" s="0" t="str">
        <f aca="false">VLOOKUP(I509,Customers!$A$2:$D$121,4,FALSE())</f>
        <v>Corporate</v>
      </c>
      <c r="P509" s="0" t="str">
        <f aca="false">TEXT(B509,"yyyy-mm")</f>
        <v>2025-05</v>
      </c>
    </row>
    <row r="510" customFormat="false" ht="15" hidden="false" customHeight="false" outlineLevel="0" collapsed="false">
      <c r="A510" s="0" t="s">
        <v>674</v>
      </c>
      <c r="B510" s="2" t="n">
        <v>45750</v>
      </c>
      <c r="C510" s="3" t="s">
        <v>17</v>
      </c>
      <c r="D510" s="3" t="s">
        <v>18</v>
      </c>
      <c r="E510" s="3" t="s">
        <v>19</v>
      </c>
      <c r="F510" s="0" t="n">
        <v>1</v>
      </c>
      <c r="G510" s="0" t="n">
        <v>349</v>
      </c>
      <c r="H510" s="0" t="n">
        <v>5</v>
      </c>
      <c r="I510" s="3" t="s">
        <v>20</v>
      </c>
      <c r="J510" s="0" t="n">
        <v>3</v>
      </c>
      <c r="K510" s="3" t="s">
        <v>26</v>
      </c>
      <c r="L510" s="0" t="str">
        <f aca="false">VLOOKUP(D510,Products!$A$2:$D$13,2,FALSE())</f>
        <v>Home</v>
      </c>
      <c r="M510" s="3" t="n">
        <f aca="false">F510*G510*(1-H510/100)</f>
        <v>331.55</v>
      </c>
      <c r="N510" s="0" t="str">
        <f aca="false">VLOOKUP(I510,Customers!$A$2:$D$121,3,FALSE())</f>
        <v>Mumbai</v>
      </c>
      <c r="O510" s="0" t="str">
        <f aca="false">VLOOKUP(I510,Customers!$A$2:$D$121,4,FALSE())</f>
        <v>Student</v>
      </c>
      <c r="P510" s="0" t="str">
        <f aca="false">TEXT(B510,"yyyy-mm")</f>
        <v>2025-04</v>
      </c>
    </row>
    <row r="511" customFormat="false" ht="15" hidden="false" customHeight="false" outlineLevel="0" collapsed="false">
      <c r="A511" s="0" t="s">
        <v>675</v>
      </c>
      <c r="B511" s="2" t="n">
        <v>45814</v>
      </c>
      <c r="C511" s="3" t="s">
        <v>17</v>
      </c>
      <c r="D511" s="3" t="s">
        <v>32</v>
      </c>
      <c r="E511" s="3" t="s">
        <v>93</v>
      </c>
      <c r="F511" s="0" t="n">
        <v>1</v>
      </c>
      <c r="G511" s="0" t="n">
        <v>249</v>
      </c>
      <c r="H511" s="0" t="n">
        <v>10</v>
      </c>
      <c r="I511" s="3" t="s">
        <v>489</v>
      </c>
      <c r="J511" s="0" t="n">
        <v>4</v>
      </c>
      <c r="K511" s="3" t="s">
        <v>43</v>
      </c>
      <c r="L511" s="0" t="str">
        <f aca="false">VLOOKUP(D511,Products!$A$2:$D$13,2,FALSE())</f>
        <v>Accessories</v>
      </c>
      <c r="M511" s="3" t="n">
        <f aca="false">F511*G511*(1-H511/100)</f>
        <v>224.1</v>
      </c>
      <c r="N511" s="0" t="str">
        <f aca="false">VLOOKUP(I511,Customers!$A$2:$D$121,3,FALSE())</f>
        <v>Kolkata</v>
      </c>
      <c r="O511" s="0" t="str">
        <f aca="false">VLOOKUP(I511,Customers!$A$2:$D$121,4,FALSE())</f>
        <v>Retail</v>
      </c>
      <c r="P511" s="0" t="str">
        <f aca="false">TEXT(B511,"yyyy-mm")</f>
        <v>2025-06</v>
      </c>
    </row>
    <row r="512" customFormat="false" ht="15" hidden="false" customHeight="false" outlineLevel="0" collapsed="false">
      <c r="A512" s="0" t="s">
        <v>676</v>
      </c>
      <c r="B512" s="2" t="n">
        <v>45750</v>
      </c>
      <c r="C512" s="3" t="s">
        <v>51</v>
      </c>
      <c r="D512" s="3" t="s">
        <v>32</v>
      </c>
      <c r="E512" s="3" t="s">
        <v>83</v>
      </c>
      <c r="F512" s="0" t="n">
        <v>3</v>
      </c>
      <c r="G512" s="0" t="n">
        <v>249</v>
      </c>
      <c r="H512" s="0" t="n">
        <v>0</v>
      </c>
      <c r="I512" s="3" t="s">
        <v>286</v>
      </c>
      <c r="J512" s="0" t="n">
        <v>3</v>
      </c>
      <c r="K512" s="3" t="s">
        <v>21</v>
      </c>
      <c r="L512" s="0" t="str">
        <f aca="false">VLOOKUP(D512,Products!$A$2:$D$13,2,FALSE())</f>
        <v>Accessories</v>
      </c>
      <c r="M512" s="3" t="n">
        <f aca="false">F512*G512*(1-H512/100)</f>
        <v>747</v>
      </c>
      <c r="N512" s="0" t="str">
        <f aca="false">VLOOKUP(I512,Customers!$A$2:$D$121,3,FALSE())</f>
        <v>Pune</v>
      </c>
      <c r="O512" s="0" t="str">
        <f aca="false">VLOOKUP(I512,Customers!$A$2:$D$121,4,FALSE())</f>
        <v>Corporate</v>
      </c>
      <c r="P512" s="0" t="str">
        <f aca="false">TEXT(B512,"yyyy-mm")</f>
        <v>2025-04</v>
      </c>
    </row>
    <row r="513" customFormat="false" ht="15" hidden="false" customHeight="false" outlineLevel="0" collapsed="false">
      <c r="A513" s="0" t="s">
        <v>677</v>
      </c>
      <c r="B513" s="2" t="n">
        <v>45845</v>
      </c>
      <c r="C513" s="3" t="s">
        <v>23</v>
      </c>
      <c r="D513" s="3" t="s">
        <v>41</v>
      </c>
      <c r="E513" s="3" t="s">
        <v>24</v>
      </c>
      <c r="F513" s="0" t="n">
        <v>8</v>
      </c>
      <c r="G513" s="0" t="n">
        <v>399</v>
      </c>
      <c r="H513" s="0" t="n">
        <v>0</v>
      </c>
      <c r="I513" s="3" t="s">
        <v>152</v>
      </c>
      <c r="J513" s="0" t="n">
        <v>1</v>
      </c>
      <c r="K513" s="3" t="s">
        <v>26</v>
      </c>
      <c r="L513" s="0" t="str">
        <f aca="false">VLOOKUP(D513,Products!$A$2:$D$13,2,FALSE())</f>
        <v>Electronics</v>
      </c>
      <c r="M513" s="3" t="n">
        <f aca="false">F513*G513*(1-H513/100)</f>
        <v>3192</v>
      </c>
      <c r="N513" s="0" t="str">
        <f aca="false">VLOOKUP(I513,Customers!$A$2:$D$121,3,FALSE())</f>
        <v>Bhopal</v>
      </c>
      <c r="O513" s="0" t="str">
        <f aca="false">VLOOKUP(I513,Customers!$A$2:$D$121,4,FALSE())</f>
        <v>Corporate</v>
      </c>
      <c r="P513" s="0" t="str">
        <f aca="false">TEXT(B513,"yyyy-mm")</f>
        <v>2025-07</v>
      </c>
    </row>
    <row r="514" customFormat="false" ht="15" hidden="false" customHeight="false" outlineLevel="0" collapsed="false">
      <c r="A514" s="0" t="s">
        <v>678</v>
      </c>
      <c r="B514" s="2" t="n">
        <v>45907</v>
      </c>
      <c r="C514" s="3" t="s">
        <v>72</v>
      </c>
      <c r="D514" s="3" t="s">
        <v>48</v>
      </c>
      <c r="E514" s="3" t="s">
        <v>73</v>
      </c>
      <c r="F514" s="0" t="n">
        <v>1</v>
      </c>
      <c r="G514" s="0" t="n">
        <v>199</v>
      </c>
      <c r="H514" s="0" t="n">
        <v>0</v>
      </c>
      <c r="I514" s="3" t="s">
        <v>39</v>
      </c>
      <c r="J514" s="0" t="n">
        <v>4</v>
      </c>
      <c r="K514" s="3" t="s">
        <v>26</v>
      </c>
      <c r="L514" s="0" t="str">
        <f aca="false">VLOOKUP(D514,Products!$A$2:$D$13,2,FALSE())</f>
        <v>Home</v>
      </c>
      <c r="M514" s="3" t="n">
        <f aca="false">F514*G514*(1-H514/100)</f>
        <v>199</v>
      </c>
      <c r="N514" s="0" t="str">
        <f aca="false">VLOOKUP(I514,Customers!$A$2:$D$121,3,FALSE())</f>
        <v>Chennai</v>
      </c>
      <c r="O514" s="0" t="str">
        <f aca="false">VLOOKUP(I514,Customers!$A$2:$D$121,4,FALSE())</f>
        <v>Retail</v>
      </c>
      <c r="P514" s="0" t="str">
        <f aca="false">TEXT(B514,"yyyy-mm")</f>
        <v>2025-09</v>
      </c>
    </row>
    <row r="515" customFormat="false" ht="15" hidden="false" customHeight="false" outlineLevel="0" collapsed="false">
      <c r="A515" s="0" t="s">
        <v>679</v>
      </c>
      <c r="B515" s="2" t="n">
        <v>45900</v>
      </c>
      <c r="C515" s="3" t="s">
        <v>17</v>
      </c>
      <c r="D515" s="3" t="s">
        <v>45</v>
      </c>
      <c r="E515" s="3" t="s">
        <v>93</v>
      </c>
      <c r="F515" s="0" t="n">
        <v>2</v>
      </c>
      <c r="G515" s="0" t="n">
        <v>30</v>
      </c>
      <c r="H515" s="0" t="n">
        <v>0</v>
      </c>
      <c r="I515" s="3" t="s">
        <v>63</v>
      </c>
      <c r="J515" s="0" t="n">
        <v>4</v>
      </c>
      <c r="K515" s="3" t="s">
        <v>43</v>
      </c>
      <c r="L515" s="0" t="str">
        <f aca="false">VLOOKUP(D515,Products!$A$2:$D$13,2,FALSE())</f>
        <v>Stationery</v>
      </c>
      <c r="M515" s="3" t="n">
        <f aca="false">F515*G515*(1-H515/100)</f>
        <v>60</v>
      </c>
      <c r="N515" s="0" t="str">
        <f aca="false">VLOOKUP(I515,Customers!$A$2:$D$121,3,FALSE())</f>
        <v>Indore</v>
      </c>
      <c r="O515" s="0" t="str">
        <f aca="false">VLOOKUP(I515,Customers!$A$2:$D$121,4,FALSE())</f>
        <v>Student</v>
      </c>
      <c r="P515" s="0" t="str">
        <f aca="false">TEXT(B515,"yyyy-mm")</f>
        <v>2025-08</v>
      </c>
    </row>
    <row r="516" customFormat="false" ht="15" hidden="false" customHeight="false" outlineLevel="0" collapsed="false">
      <c r="A516" s="0" t="s">
        <v>680</v>
      </c>
      <c r="B516" s="2" t="n">
        <v>45923</v>
      </c>
      <c r="C516" s="3" t="s">
        <v>36</v>
      </c>
      <c r="D516" s="3" t="s">
        <v>18</v>
      </c>
      <c r="E516" s="3" t="s">
        <v>38</v>
      </c>
      <c r="F516" s="0" t="n">
        <v>1</v>
      </c>
      <c r="G516" s="0" t="n">
        <v>349</v>
      </c>
      <c r="H516" s="0" t="n">
        <v>5</v>
      </c>
      <c r="I516" s="3" t="s">
        <v>135</v>
      </c>
      <c r="J516" s="0" t="n">
        <v>5</v>
      </c>
      <c r="K516" s="3" t="s">
        <v>43</v>
      </c>
      <c r="L516" s="0" t="str">
        <f aca="false">VLOOKUP(D516,Products!$A$2:$D$13,2,FALSE())</f>
        <v>Home</v>
      </c>
      <c r="M516" s="3" t="n">
        <f aca="false">F516*G516*(1-H516/100)</f>
        <v>331.55</v>
      </c>
      <c r="N516" s="0" t="str">
        <f aca="false">VLOOKUP(I516,Customers!$A$2:$D$121,3,FALSE())</f>
        <v>Jaipur</v>
      </c>
      <c r="O516" s="0" t="str">
        <f aca="false">VLOOKUP(I516,Customers!$A$2:$D$121,4,FALSE())</f>
        <v>Corporate</v>
      </c>
      <c r="P516" s="0" t="str">
        <f aca="false">TEXT(B516,"yyyy-mm")</f>
        <v>2025-09</v>
      </c>
    </row>
    <row r="517" customFormat="false" ht="15" hidden="false" customHeight="false" outlineLevel="0" collapsed="false">
      <c r="A517" s="0" t="s">
        <v>681</v>
      </c>
      <c r="B517" s="2" t="n">
        <v>45862</v>
      </c>
      <c r="C517" s="3" t="s">
        <v>36</v>
      </c>
      <c r="D517" s="3" t="s">
        <v>60</v>
      </c>
      <c r="E517" s="3" t="s">
        <v>38</v>
      </c>
      <c r="F517" s="0" t="n">
        <v>6</v>
      </c>
      <c r="G517" s="0" t="n">
        <v>40</v>
      </c>
      <c r="H517" s="0" t="n">
        <v>15</v>
      </c>
      <c r="I517" s="3" t="s">
        <v>123</v>
      </c>
      <c r="J517" s="0" t="n">
        <v>3</v>
      </c>
      <c r="K517" s="3" t="s">
        <v>26</v>
      </c>
      <c r="L517" s="0" t="str">
        <f aca="false">VLOOKUP(D517,Products!$A$2:$D$13,2,FALSE())</f>
        <v>Stationery</v>
      </c>
      <c r="M517" s="3" t="n">
        <f aca="false">F517*G517*(1-H517/100)</f>
        <v>204</v>
      </c>
      <c r="N517" s="0" t="str">
        <f aca="false">VLOOKUP(I517,Customers!$A$2:$D$121,3,FALSE())</f>
        <v>Chennai</v>
      </c>
      <c r="O517" s="0" t="str">
        <f aca="false">VLOOKUP(I517,Customers!$A$2:$D$121,4,FALSE())</f>
        <v>Student</v>
      </c>
      <c r="P517" s="0" t="str">
        <f aca="false">TEXT(B517,"yyyy-mm")</f>
        <v>2025-07</v>
      </c>
    </row>
    <row r="518" customFormat="false" ht="15" hidden="false" customHeight="false" outlineLevel="0" collapsed="false">
      <c r="A518" s="0" t="s">
        <v>682</v>
      </c>
      <c r="B518" s="2" t="n">
        <v>46112</v>
      </c>
      <c r="C518" s="3" t="s">
        <v>72</v>
      </c>
      <c r="D518" s="3" t="s">
        <v>45</v>
      </c>
      <c r="E518" s="3" t="s">
        <v>73</v>
      </c>
      <c r="F518" s="0" t="n">
        <v>4</v>
      </c>
      <c r="G518" s="0" t="n">
        <v>30</v>
      </c>
      <c r="H518" s="0" t="n">
        <v>15</v>
      </c>
      <c r="I518" s="3" t="s">
        <v>551</v>
      </c>
      <c r="J518" s="0" t="n">
        <v>1</v>
      </c>
      <c r="K518" s="3" t="s">
        <v>21</v>
      </c>
      <c r="L518" s="0" t="str">
        <f aca="false">VLOOKUP(D518,Products!$A$2:$D$13,2,FALSE())</f>
        <v>Stationery</v>
      </c>
      <c r="M518" s="3" t="n">
        <f aca="false">F518*G518*(1-H518/100)</f>
        <v>102</v>
      </c>
      <c r="N518" s="0" t="str">
        <f aca="false">VLOOKUP(I518,Customers!$A$2:$D$121,3,FALSE())</f>
        <v>Lucknow</v>
      </c>
      <c r="O518" s="0" t="str">
        <f aca="false">VLOOKUP(I518,Customers!$A$2:$D$121,4,FALSE())</f>
        <v>Student</v>
      </c>
      <c r="P518" s="0" t="str">
        <f aca="false">TEXT(B518,"yyyy-mm")</f>
        <v>2026-03</v>
      </c>
    </row>
    <row r="519" customFormat="false" ht="15" hidden="false" customHeight="false" outlineLevel="0" collapsed="false">
      <c r="A519" s="0" t="s">
        <v>683</v>
      </c>
      <c r="B519" s="2" t="n">
        <v>46086</v>
      </c>
      <c r="C519" s="3" t="s">
        <v>17</v>
      </c>
      <c r="D519" s="3" t="s">
        <v>116</v>
      </c>
      <c r="E519" s="3" t="s">
        <v>19</v>
      </c>
      <c r="F519" s="0" t="n">
        <v>4</v>
      </c>
      <c r="G519" s="0" t="n">
        <v>699</v>
      </c>
      <c r="H519" s="0" t="n">
        <v>0</v>
      </c>
      <c r="I519" s="3" t="s">
        <v>684</v>
      </c>
      <c r="J519" s="0" t="n">
        <v>5</v>
      </c>
      <c r="K519" s="3" t="s">
        <v>21</v>
      </c>
      <c r="L519" s="0" t="str">
        <f aca="false">VLOOKUP(D519,Products!$A$2:$D$13,2,FALSE())</f>
        <v>Home</v>
      </c>
      <c r="M519" s="3" t="n">
        <f aca="false">F519*G519*(1-H519/100)</f>
        <v>2796</v>
      </c>
      <c r="N519" s="0" t="str">
        <f aca="false">VLOOKUP(I519,Customers!$A$2:$D$121,3,FALSE())</f>
        <v>Nagpur</v>
      </c>
      <c r="O519" s="0" t="str">
        <f aca="false">VLOOKUP(I519,Customers!$A$2:$D$121,4,FALSE())</f>
        <v>Retail</v>
      </c>
      <c r="P519" s="0" t="str">
        <f aca="false">TEXT(B519,"yyyy-mm")</f>
        <v>2026-03</v>
      </c>
    </row>
    <row r="520" customFormat="false" ht="15" hidden="false" customHeight="false" outlineLevel="0" collapsed="false">
      <c r="A520" s="0" t="s">
        <v>685</v>
      </c>
      <c r="B520" s="2" t="n">
        <v>45942</v>
      </c>
      <c r="C520" s="3" t="s">
        <v>51</v>
      </c>
      <c r="D520" s="3" t="s">
        <v>88</v>
      </c>
      <c r="E520" s="3" t="s">
        <v>52</v>
      </c>
      <c r="F520" s="0" t="n">
        <v>2</v>
      </c>
      <c r="G520" s="0" t="n">
        <v>799</v>
      </c>
      <c r="H520" s="0" t="n">
        <v>0</v>
      </c>
      <c r="I520" s="3" t="s">
        <v>205</v>
      </c>
      <c r="J520" s="0" t="n">
        <v>3</v>
      </c>
      <c r="K520" s="3" t="s">
        <v>26</v>
      </c>
      <c r="L520" s="0" t="str">
        <f aca="false">VLOOKUP(D520,Products!$A$2:$D$13,2,FALSE())</f>
        <v>Accessories</v>
      </c>
      <c r="M520" s="3" t="n">
        <f aca="false">F520*G520*(1-H520/100)</f>
        <v>1598</v>
      </c>
      <c r="N520" s="0" t="str">
        <f aca="false">VLOOKUP(I520,Customers!$A$2:$D$121,3,FALSE())</f>
        <v>Jaipur</v>
      </c>
      <c r="O520" s="0" t="str">
        <f aca="false">VLOOKUP(I520,Customers!$A$2:$D$121,4,FALSE())</f>
        <v>Student</v>
      </c>
      <c r="P520" s="0" t="str">
        <f aca="false">TEXT(B520,"yyyy-mm")</f>
        <v>2025-10</v>
      </c>
    </row>
    <row r="521" customFormat="false" ht="15" hidden="false" customHeight="false" outlineLevel="0" collapsed="false">
      <c r="A521" s="0" t="s">
        <v>686</v>
      </c>
      <c r="B521" s="2" t="n">
        <v>45902</v>
      </c>
      <c r="C521" s="3" t="s">
        <v>17</v>
      </c>
      <c r="D521" s="3" t="s">
        <v>48</v>
      </c>
      <c r="E521" s="3" t="s">
        <v>93</v>
      </c>
      <c r="F521" s="0" t="n">
        <v>1</v>
      </c>
      <c r="G521" s="0" t="n">
        <v>199</v>
      </c>
      <c r="H521" s="0" t="n">
        <v>5</v>
      </c>
      <c r="I521" s="3" t="s">
        <v>251</v>
      </c>
      <c r="J521" s="0" t="n">
        <v>2</v>
      </c>
      <c r="K521" s="3" t="s">
        <v>26</v>
      </c>
      <c r="L521" s="0" t="str">
        <f aca="false">VLOOKUP(D521,Products!$A$2:$D$13,2,FALSE())</f>
        <v>Home</v>
      </c>
      <c r="M521" s="3" t="n">
        <f aca="false">F521*G521*(1-H521/100)</f>
        <v>189.05</v>
      </c>
      <c r="N521" s="0" t="str">
        <f aca="false">VLOOKUP(I521,Customers!$A$2:$D$121,3,FALSE())</f>
        <v>Indore</v>
      </c>
      <c r="O521" s="0" t="str">
        <f aca="false">VLOOKUP(I521,Customers!$A$2:$D$121,4,FALSE())</f>
        <v>Student</v>
      </c>
      <c r="P521" s="0" t="str">
        <f aca="false">TEXT(B521,"yyyy-mm")</f>
        <v>2025-09</v>
      </c>
    </row>
    <row r="522" customFormat="false" ht="15" hidden="false" customHeight="false" outlineLevel="0" collapsed="false">
      <c r="A522" s="0" t="s">
        <v>687</v>
      </c>
      <c r="B522" s="2" t="n">
        <v>46009</v>
      </c>
      <c r="C522" s="3" t="s">
        <v>17</v>
      </c>
      <c r="D522" s="3" t="s">
        <v>88</v>
      </c>
      <c r="E522" s="3" t="s">
        <v>19</v>
      </c>
      <c r="F522" s="0" t="n">
        <v>1</v>
      </c>
      <c r="G522" s="0" t="n">
        <v>799</v>
      </c>
      <c r="H522" s="0" t="n">
        <v>15</v>
      </c>
      <c r="I522" s="3" t="s">
        <v>46</v>
      </c>
      <c r="J522" s="0" t="n">
        <v>2</v>
      </c>
      <c r="K522" s="3" t="s">
        <v>21</v>
      </c>
      <c r="L522" s="0" t="str">
        <f aca="false">VLOOKUP(D522,Products!$A$2:$D$13,2,FALSE())</f>
        <v>Accessories</v>
      </c>
      <c r="M522" s="3" t="n">
        <f aca="false">F522*G522*(1-H522/100)</f>
        <v>679.15</v>
      </c>
      <c r="N522" s="0" t="str">
        <f aca="false">VLOOKUP(I522,Customers!$A$2:$D$121,3,FALSE())</f>
        <v>Indore</v>
      </c>
      <c r="O522" s="0" t="str">
        <f aca="false">VLOOKUP(I522,Customers!$A$2:$D$121,4,FALSE())</f>
        <v>Student</v>
      </c>
      <c r="P522" s="0" t="str">
        <f aca="false">TEXT(B522,"yyyy-mm")</f>
        <v>2025-12</v>
      </c>
    </row>
    <row r="523" customFormat="false" ht="15" hidden="false" customHeight="false" outlineLevel="0" collapsed="false">
      <c r="A523" s="0" t="s">
        <v>688</v>
      </c>
      <c r="B523" s="2" t="n">
        <v>46059</v>
      </c>
      <c r="C523" s="3" t="s">
        <v>36</v>
      </c>
      <c r="D523" s="3" t="s">
        <v>32</v>
      </c>
      <c r="E523" s="3" t="s">
        <v>38</v>
      </c>
      <c r="F523" s="0" t="n">
        <v>1</v>
      </c>
      <c r="G523" s="0" t="n">
        <v>249</v>
      </c>
      <c r="H523" s="0" t="n">
        <v>0</v>
      </c>
      <c r="I523" s="3" t="s">
        <v>337</v>
      </c>
      <c r="J523" s="0" t="n">
        <v>3</v>
      </c>
      <c r="K523" s="3" t="s">
        <v>34</v>
      </c>
      <c r="L523" s="0" t="str">
        <f aca="false">VLOOKUP(D523,Products!$A$2:$D$13,2,FALSE())</f>
        <v>Accessories</v>
      </c>
      <c r="M523" s="3" t="n">
        <f aca="false">F523*G523*(1-H523/100)</f>
        <v>249</v>
      </c>
      <c r="N523" s="0" t="str">
        <f aca="false">VLOOKUP(I523,Customers!$A$2:$D$121,3,FALSE())</f>
        <v>Lucknow</v>
      </c>
      <c r="O523" s="0" t="str">
        <f aca="false">VLOOKUP(I523,Customers!$A$2:$D$121,4,FALSE())</f>
        <v>Student</v>
      </c>
      <c r="P523" s="0" t="str">
        <f aca="false">TEXT(B523,"yyyy-mm")</f>
        <v>2026-02</v>
      </c>
    </row>
    <row r="524" customFormat="false" ht="15" hidden="false" customHeight="false" outlineLevel="0" collapsed="false">
      <c r="A524" s="0" t="s">
        <v>689</v>
      </c>
      <c r="B524" s="2" t="n">
        <v>45899</v>
      </c>
      <c r="C524" s="3" t="s">
        <v>51</v>
      </c>
      <c r="D524" s="3" t="s">
        <v>48</v>
      </c>
      <c r="E524" s="3" t="s">
        <v>52</v>
      </c>
      <c r="F524" s="0" t="n">
        <v>4</v>
      </c>
      <c r="G524" s="0" t="n">
        <v>199</v>
      </c>
      <c r="H524" s="0" t="n">
        <v>0</v>
      </c>
      <c r="I524" s="3" t="s">
        <v>158</v>
      </c>
      <c r="J524" s="0" t="n">
        <v>4</v>
      </c>
      <c r="K524" s="3" t="s">
        <v>43</v>
      </c>
      <c r="L524" s="0" t="str">
        <f aca="false">VLOOKUP(D524,Products!$A$2:$D$13,2,FALSE())</f>
        <v>Home</v>
      </c>
      <c r="M524" s="3" t="n">
        <f aca="false">F524*G524*(1-H524/100)</f>
        <v>796</v>
      </c>
      <c r="N524" s="0" t="str">
        <f aca="false">VLOOKUP(I524,Customers!$A$2:$D$121,3,FALSE())</f>
        <v>Mumbai</v>
      </c>
      <c r="O524" s="0" t="str">
        <f aca="false">VLOOKUP(I524,Customers!$A$2:$D$121,4,FALSE())</f>
        <v>Retail</v>
      </c>
      <c r="P524" s="0" t="str">
        <f aca="false">TEXT(B524,"yyyy-mm")</f>
        <v>2025-08</v>
      </c>
    </row>
    <row r="525" customFormat="false" ht="15" hidden="false" customHeight="false" outlineLevel="0" collapsed="false">
      <c r="A525" s="0" t="s">
        <v>690</v>
      </c>
      <c r="B525" s="2" t="n">
        <v>45749</v>
      </c>
      <c r="C525" s="3" t="s">
        <v>36</v>
      </c>
      <c r="D525" s="3" t="s">
        <v>41</v>
      </c>
      <c r="E525" s="3" t="s">
        <v>38</v>
      </c>
      <c r="F525" s="0" t="n">
        <v>3</v>
      </c>
      <c r="G525" s="0" t="n">
        <v>399</v>
      </c>
      <c r="H525" s="0" t="n">
        <v>0</v>
      </c>
      <c r="I525" s="3" t="s">
        <v>269</v>
      </c>
      <c r="J525" s="0" t="n">
        <v>2</v>
      </c>
      <c r="K525" s="3" t="s">
        <v>43</v>
      </c>
      <c r="L525" s="0" t="str">
        <f aca="false">VLOOKUP(D525,Products!$A$2:$D$13,2,FALSE())</f>
        <v>Electronics</v>
      </c>
      <c r="M525" s="3" t="n">
        <f aca="false">F525*G525*(1-H525/100)</f>
        <v>1197</v>
      </c>
      <c r="N525" s="0" t="str">
        <f aca="false">VLOOKUP(I525,Customers!$A$2:$D$121,3,FALSE())</f>
        <v>Mumbai</v>
      </c>
      <c r="O525" s="0" t="str">
        <f aca="false">VLOOKUP(I525,Customers!$A$2:$D$121,4,FALSE())</f>
        <v>Student</v>
      </c>
      <c r="P525" s="0" t="str">
        <f aca="false">TEXT(B525,"yyyy-mm")</f>
        <v>2025-04</v>
      </c>
    </row>
    <row r="526" customFormat="false" ht="15" hidden="false" customHeight="false" outlineLevel="0" collapsed="false">
      <c r="A526" s="0" t="s">
        <v>691</v>
      </c>
      <c r="B526" s="2" t="n">
        <v>46009</v>
      </c>
      <c r="C526" s="3" t="s">
        <v>17</v>
      </c>
      <c r="D526" s="3" t="s">
        <v>108</v>
      </c>
      <c r="E526" s="3" t="s">
        <v>93</v>
      </c>
      <c r="F526" s="0" t="n">
        <v>12</v>
      </c>
      <c r="G526" s="0" t="n">
        <v>180</v>
      </c>
      <c r="H526" s="0" t="n">
        <v>0</v>
      </c>
      <c r="I526" s="3" t="s">
        <v>284</v>
      </c>
      <c r="J526" s="0" t="n">
        <v>4</v>
      </c>
      <c r="K526" s="3" t="s">
        <v>26</v>
      </c>
      <c r="L526" s="0" t="str">
        <f aca="false">VLOOKUP(D526,Products!$A$2:$D$13,2,FALSE())</f>
        <v>Stationery</v>
      </c>
      <c r="M526" s="3" t="n">
        <f aca="false">F526*G526*(1-H526/100)</f>
        <v>2160</v>
      </c>
      <c r="N526" s="0" t="str">
        <f aca="false">VLOOKUP(I526,Customers!$A$2:$D$121,3,FALSE())</f>
        <v>Jaipur</v>
      </c>
      <c r="O526" s="0" t="str">
        <f aca="false">VLOOKUP(I526,Customers!$A$2:$D$121,4,FALSE())</f>
        <v>Retail</v>
      </c>
      <c r="P526" s="0" t="str">
        <f aca="false">TEXT(B526,"yyyy-mm")</f>
        <v>2025-12</v>
      </c>
    </row>
    <row r="527" customFormat="false" ht="15" hidden="false" customHeight="false" outlineLevel="0" collapsed="false">
      <c r="A527" s="0" t="s">
        <v>692</v>
      </c>
      <c r="B527" s="2" t="n">
        <v>45883</v>
      </c>
      <c r="C527" s="3" t="s">
        <v>72</v>
      </c>
      <c r="D527" s="3" t="s">
        <v>32</v>
      </c>
      <c r="E527" s="3" t="s">
        <v>89</v>
      </c>
      <c r="F527" s="0" t="n">
        <v>10</v>
      </c>
      <c r="G527" s="0" t="n">
        <v>249</v>
      </c>
      <c r="H527" s="0" t="n">
        <v>5</v>
      </c>
      <c r="I527" s="3" t="s">
        <v>100</v>
      </c>
      <c r="J527" s="0" t="n">
        <v>2</v>
      </c>
      <c r="K527" s="3" t="s">
        <v>21</v>
      </c>
      <c r="L527" s="0" t="str">
        <f aca="false">VLOOKUP(D527,Products!$A$2:$D$13,2,FALSE())</f>
        <v>Accessories</v>
      </c>
      <c r="M527" s="3" t="n">
        <f aca="false">F527*G527*(1-H527/100)</f>
        <v>2365.5</v>
      </c>
      <c r="N527" s="0" t="str">
        <f aca="false">VLOOKUP(I527,Customers!$A$2:$D$121,3,FALSE())</f>
        <v>Nagpur</v>
      </c>
      <c r="O527" s="0" t="str">
        <f aca="false">VLOOKUP(I527,Customers!$A$2:$D$121,4,FALSE())</f>
        <v>Retail</v>
      </c>
      <c r="P527" s="0" t="str">
        <f aca="false">TEXT(B527,"yyyy-mm")</f>
        <v>2025-08</v>
      </c>
    </row>
    <row r="528" customFormat="false" ht="15" hidden="false" customHeight="false" outlineLevel="0" collapsed="false">
      <c r="A528" s="0" t="s">
        <v>693</v>
      </c>
      <c r="B528" s="2" t="n">
        <v>46094</v>
      </c>
      <c r="C528" s="3" t="s">
        <v>72</v>
      </c>
      <c r="D528" s="3" t="s">
        <v>37</v>
      </c>
      <c r="E528" s="3" t="s">
        <v>89</v>
      </c>
      <c r="F528" s="0" t="n">
        <v>2</v>
      </c>
      <c r="G528" s="0" t="n">
        <v>500</v>
      </c>
      <c r="H528" s="0" t="n">
        <v>0</v>
      </c>
      <c r="I528" s="3" t="s">
        <v>25</v>
      </c>
      <c r="J528" s="0" t="n">
        <v>5</v>
      </c>
      <c r="K528" s="3" t="s">
        <v>21</v>
      </c>
      <c r="L528" s="0" t="str">
        <f aca="false">VLOOKUP(D528,Products!$A$2:$D$13,2,FALSE())</f>
        <v>Electronics</v>
      </c>
      <c r="M528" s="3" t="n">
        <f aca="false">F528*G528*(1-H528/100)</f>
        <v>1000</v>
      </c>
      <c r="N528" s="0" t="str">
        <f aca="false">VLOOKUP(I528,Customers!$A$2:$D$121,3,FALSE())</f>
        <v>Indore</v>
      </c>
      <c r="O528" s="0" t="str">
        <f aca="false">VLOOKUP(I528,Customers!$A$2:$D$121,4,FALSE())</f>
        <v>Corporate</v>
      </c>
      <c r="P528" s="0" t="str">
        <f aca="false">TEXT(B528,"yyyy-mm")</f>
        <v>2026-03</v>
      </c>
    </row>
    <row r="529" customFormat="false" ht="15" hidden="false" customHeight="false" outlineLevel="0" collapsed="false">
      <c r="A529" s="0" t="s">
        <v>694</v>
      </c>
      <c r="B529" s="2" t="n">
        <v>46087</v>
      </c>
      <c r="C529" s="3" t="s">
        <v>36</v>
      </c>
      <c r="D529" s="3" t="s">
        <v>60</v>
      </c>
      <c r="E529" s="3" t="s">
        <v>69</v>
      </c>
      <c r="F529" s="0" t="n">
        <v>3</v>
      </c>
      <c r="G529" s="0" t="n">
        <v>40</v>
      </c>
      <c r="H529" s="0" t="n">
        <v>15</v>
      </c>
      <c r="I529" s="3" t="s">
        <v>695</v>
      </c>
      <c r="J529" s="0" t="n">
        <v>3</v>
      </c>
      <c r="K529" s="3" t="s">
        <v>34</v>
      </c>
      <c r="L529" s="0" t="str">
        <f aca="false">VLOOKUP(D529,Products!$A$2:$D$13,2,FALSE())</f>
        <v>Stationery</v>
      </c>
      <c r="M529" s="3" t="n">
        <f aca="false">F529*G529*(1-H529/100)</f>
        <v>102</v>
      </c>
      <c r="N529" s="0" t="str">
        <f aca="false">VLOOKUP(I529,Customers!$A$2:$D$121,3,FALSE())</f>
        <v>Pune</v>
      </c>
      <c r="O529" s="0" t="str">
        <f aca="false">VLOOKUP(I529,Customers!$A$2:$D$121,4,FALSE())</f>
        <v>Corporate</v>
      </c>
      <c r="P529" s="0" t="str">
        <f aca="false">TEXT(B529,"yyyy-mm")</f>
        <v>2026-03</v>
      </c>
    </row>
    <row r="530" customFormat="false" ht="15" hidden="false" customHeight="false" outlineLevel="0" collapsed="false">
      <c r="A530" s="0" t="s">
        <v>696</v>
      </c>
      <c r="B530" s="2" t="n">
        <v>45938</v>
      </c>
      <c r="C530" s="3" t="s">
        <v>17</v>
      </c>
      <c r="D530" s="3" t="s">
        <v>48</v>
      </c>
      <c r="E530" s="3" t="s">
        <v>93</v>
      </c>
      <c r="F530" s="0" t="n">
        <v>5</v>
      </c>
      <c r="G530" s="0" t="n">
        <v>199</v>
      </c>
      <c r="H530" s="0" t="n">
        <v>0</v>
      </c>
      <c r="I530" s="3" t="s">
        <v>178</v>
      </c>
      <c r="J530" s="0" t="n">
        <v>2</v>
      </c>
      <c r="K530" s="3" t="s">
        <v>43</v>
      </c>
      <c r="L530" s="0" t="str">
        <f aca="false">VLOOKUP(D530,Products!$A$2:$D$13,2,FALSE())</f>
        <v>Home</v>
      </c>
      <c r="M530" s="3" t="n">
        <f aca="false">F530*G530*(1-H530/100)</f>
        <v>995</v>
      </c>
      <c r="N530" s="0" t="str">
        <f aca="false">VLOOKUP(I530,Customers!$A$2:$D$121,3,FALSE())</f>
        <v>Nagpur</v>
      </c>
      <c r="O530" s="0" t="str">
        <f aca="false">VLOOKUP(I530,Customers!$A$2:$D$121,4,FALSE())</f>
        <v>Student</v>
      </c>
      <c r="P530" s="0" t="str">
        <f aca="false">TEXT(B530,"yyyy-mm")</f>
        <v>2025-10</v>
      </c>
    </row>
    <row r="531" customFormat="false" ht="15" hidden="false" customHeight="false" outlineLevel="0" collapsed="false">
      <c r="A531" s="0" t="s">
        <v>697</v>
      </c>
      <c r="B531" s="2" t="n">
        <v>46101</v>
      </c>
      <c r="C531" s="3" t="s">
        <v>51</v>
      </c>
      <c r="D531" s="3" t="s">
        <v>37</v>
      </c>
      <c r="E531" s="3" t="s">
        <v>52</v>
      </c>
      <c r="F531" s="0" t="n">
        <v>4</v>
      </c>
      <c r="G531" s="0" t="n">
        <v>500</v>
      </c>
      <c r="H531" s="0" t="n">
        <v>5</v>
      </c>
      <c r="I531" s="3" t="s">
        <v>379</v>
      </c>
      <c r="J531" s="0" t="n">
        <v>4</v>
      </c>
      <c r="K531" s="3" t="s">
        <v>21</v>
      </c>
      <c r="L531" s="0" t="str">
        <f aca="false">VLOOKUP(D531,Products!$A$2:$D$13,2,FALSE())</f>
        <v>Electronics</v>
      </c>
      <c r="M531" s="3" t="n">
        <f aca="false">F531*G531*(1-H531/100)</f>
        <v>1900</v>
      </c>
      <c r="N531" s="0" t="str">
        <f aca="false">VLOOKUP(I531,Customers!$A$2:$D$121,3,FALSE())</f>
        <v>Kolkata</v>
      </c>
      <c r="O531" s="0" t="str">
        <f aca="false">VLOOKUP(I531,Customers!$A$2:$D$121,4,FALSE())</f>
        <v>Student</v>
      </c>
      <c r="P531" s="0" t="str">
        <f aca="false">TEXT(B531,"yyyy-mm")</f>
        <v>2026-03</v>
      </c>
    </row>
    <row r="532" customFormat="false" ht="15" hidden="false" customHeight="false" outlineLevel="0" collapsed="false">
      <c r="A532" s="0" t="s">
        <v>698</v>
      </c>
      <c r="B532" s="2" t="n">
        <v>45829</v>
      </c>
      <c r="C532" s="3" t="s">
        <v>17</v>
      </c>
      <c r="D532" s="3" t="s">
        <v>108</v>
      </c>
      <c r="E532" s="3" t="s">
        <v>93</v>
      </c>
      <c r="F532" s="0" t="n">
        <v>1</v>
      </c>
      <c r="G532" s="0" t="n">
        <v>180</v>
      </c>
      <c r="H532" s="0" t="n">
        <v>0</v>
      </c>
      <c r="I532" s="3" t="s">
        <v>322</v>
      </c>
      <c r="J532" s="0" t="n">
        <v>5</v>
      </c>
      <c r="K532" s="3" t="s">
        <v>43</v>
      </c>
      <c r="L532" s="0" t="str">
        <f aca="false">VLOOKUP(D532,Products!$A$2:$D$13,2,FALSE())</f>
        <v>Stationery</v>
      </c>
      <c r="M532" s="3" t="n">
        <f aca="false">F532*G532*(1-H532/100)</f>
        <v>180</v>
      </c>
      <c r="N532" s="0" t="str">
        <f aca="false">VLOOKUP(I532,Customers!$A$2:$D$121,3,FALSE())</f>
        <v>Kolkata</v>
      </c>
      <c r="O532" s="0" t="str">
        <f aca="false">VLOOKUP(I532,Customers!$A$2:$D$121,4,FALSE())</f>
        <v>Retail</v>
      </c>
      <c r="P532" s="0" t="str">
        <f aca="false">TEXT(B532,"yyyy-mm")</f>
        <v>2025-06</v>
      </c>
    </row>
    <row r="533" customFormat="false" ht="15" hidden="false" customHeight="false" outlineLevel="0" collapsed="false">
      <c r="A533" s="0" t="s">
        <v>699</v>
      </c>
      <c r="B533" s="2" t="n">
        <v>45942</v>
      </c>
      <c r="C533" s="3" t="s">
        <v>23</v>
      </c>
      <c r="D533" s="3" t="s">
        <v>108</v>
      </c>
      <c r="E533" s="3" t="s">
        <v>24</v>
      </c>
      <c r="F533" s="0" t="n">
        <v>2</v>
      </c>
      <c r="G533" s="0" t="n">
        <v>180</v>
      </c>
      <c r="H533" s="0" t="n">
        <v>0</v>
      </c>
      <c r="I533" s="3" t="s">
        <v>198</v>
      </c>
      <c r="J533" s="0" t="n">
        <v>1</v>
      </c>
      <c r="K533" s="3" t="s">
        <v>43</v>
      </c>
      <c r="L533" s="0" t="str">
        <f aca="false">VLOOKUP(D533,Products!$A$2:$D$13,2,FALSE())</f>
        <v>Stationery</v>
      </c>
      <c r="M533" s="3" t="n">
        <f aca="false">F533*G533*(1-H533/100)</f>
        <v>360</v>
      </c>
      <c r="N533" s="0" t="str">
        <f aca="false">VLOOKUP(I533,Customers!$A$2:$D$121,3,FALSE())</f>
        <v>Bhopal</v>
      </c>
      <c r="O533" s="0" t="str">
        <f aca="false">VLOOKUP(I533,Customers!$A$2:$D$121,4,FALSE())</f>
        <v>Student</v>
      </c>
      <c r="P533" s="0" t="str">
        <f aca="false">TEXT(B533,"yyyy-mm")</f>
        <v>2025-10</v>
      </c>
    </row>
    <row r="534" customFormat="false" ht="15" hidden="false" customHeight="false" outlineLevel="0" collapsed="false">
      <c r="A534" s="0" t="s">
        <v>700</v>
      </c>
      <c r="B534" s="2" t="n">
        <v>45958</v>
      </c>
      <c r="C534" s="3" t="s">
        <v>17</v>
      </c>
      <c r="D534" s="3" t="s">
        <v>32</v>
      </c>
      <c r="E534" s="3" t="s">
        <v>93</v>
      </c>
      <c r="F534" s="0" t="n">
        <v>1</v>
      </c>
      <c r="G534" s="0" t="n">
        <v>249</v>
      </c>
      <c r="H534" s="0" t="n">
        <v>5</v>
      </c>
      <c r="I534" s="3" t="s">
        <v>158</v>
      </c>
      <c r="J534" s="0" t="n">
        <v>2</v>
      </c>
      <c r="K534" s="3" t="s">
        <v>21</v>
      </c>
      <c r="L534" s="0" t="str">
        <f aca="false">VLOOKUP(D534,Products!$A$2:$D$13,2,FALSE())</f>
        <v>Accessories</v>
      </c>
      <c r="M534" s="3" t="n">
        <f aca="false">F534*G534*(1-H534/100)</f>
        <v>236.55</v>
      </c>
      <c r="N534" s="0" t="str">
        <f aca="false">VLOOKUP(I534,Customers!$A$2:$D$121,3,FALSE())</f>
        <v>Mumbai</v>
      </c>
      <c r="O534" s="0" t="str">
        <f aca="false">VLOOKUP(I534,Customers!$A$2:$D$121,4,FALSE())</f>
        <v>Retail</v>
      </c>
      <c r="P534" s="0" t="str">
        <f aca="false">TEXT(B534,"yyyy-mm")</f>
        <v>2025-10</v>
      </c>
    </row>
    <row r="535" customFormat="false" ht="15" hidden="false" customHeight="false" outlineLevel="0" collapsed="false">
      <c r="A535" s="0" t="s">
        <v>701</v>
      </c>
      <c r="B535" s="2" t="n">
        <v>46043</v>
      </c>
      <c r="C535" s="3" t="s">
        <v>23</v>
      </c>
      <c r="D535" s="3" t="s">
        <v>48</v>
      </c>
      <c r="E535" s="3" t="s">
        <v>29</v>
      </c>
      <c r="F535" s="0" t="n">
        <v>6</v>
      </c>
      <c r="G535" s="0" t="n">
        <v>199</v>
      </c>
      <c r="H535" s="0" t="n">
        <v>15</v>
      </c>
      <c r="I535" s="3" t="s">
        <v>276</v>
      </c>
      <c r="J535" s="0" t="n">
        <v>3</v>
      </c>
      <c r="K535" s="3" t="s">
        <v>21</v>
      </c>
      <c r="L535" s="0" t="str">
        <f aca="false">VLOOKUP(D535,Products!$A$2:$D$13,2,FALSE())</f>
        <v>Home</v>
      </c>
      <c r="M535" s="3" t="n">
        <f aca="false">F535*G535*(1-H535/100)</f>
        <v>1014.9</v>
      </c>
      <c r="N535" s="0" t="str">
        <f aca="false">VLOOKUP(I535,Customers!$A$2:$D$121,3,FALSE())</f>
        <v>Jaipur</v>
      </c>
      <c r="O535" s="0" t="str">
        <f aca="false">VLOOKUP(I535,Customers!$A$2:$D$121,4,FALSE())</f>
        <v>Retail</v>
      </c>
      <c r="P535" s="0" t="str">
        <f aca="false">TEXT(B535,"yyyy-mm")</f>
        <v>2026-01</v>
      </c>
    </row>
    <row r="536" customFormat="false" ht="15" hidden="false" customHeight="false" outlineLevel="0" collapsed="false">
      <c r="A536" s="0" t="s">
        <v>702</v>
      </c>
      <c r="B536" s="2" t="n">
        <v>45994</v>
      </c>
      <c r="C536" s="3" t="s">
        <v>36</v>
      </c>
      <c r="D536" s="3" t="s">
        <v>88</v>
      </c>
      <c r="E536" s="3" t="s">
        <v>69</v>
      </c>
      <c r="F536" s="0" t="n">
        <v>2</v>
      </c>
      <c r="G536" s="0" t="n">
        <v>799</v>
      </c>
      <c r="H536" s="0" t="n">
        <v>0</v>
      </c>
      <c r="I536" s="3" t="s">
        <v>251</v>
      </c>
      <c r="J536" s="0" t="n">
        <v>4</v>
      </c>
      <c r="K536" s="3" t="s">
        <v>26</v>
      </c>
      <c r="L536" s="0" t="str">
        <f aca="false">VLOOKUP(D536,Products!$A$2:$D$13,2,FALSE())</f>
        <v>Accessories</v>
      </c>
      <c r="M536" s="3" t="n">
        <f aca="false">F536*G536*(1-H536/100)</f>
        <v>1598</v>
      </c>
      <c r="N536" s="0" t="str">
        <f aca="false">VLOOKUP(I536,Customers!$A$2:$D$121,3,FALSE())</f>
        <v>Indore</v>
      </c>
      <c r="O536" s="0" t="str">
        <f aca="false">VLOOKUP(I536,Customers!$A$2:$D$121,4,FALSE())</f>
        <v>Student</v>
      </c>
      <c r="P536" s="0" t="str">
        <f aca="false">TEXT(B536,"yyyy-mm")</f>
        <v>2025-12</v>
      </c>
    </row>
    <row r="537" customFormat="false" ht="15" hidden="false" customHeight="false" outlineLevel="0" collapsed="false">
      <c r="A537" s="0" t="s">
        <v>703</v>
      </c>
      <c r="B537" s="2" t="n">
        <v>45775</v>
      </c>
      <c r="C537" s="3" t="s">
        <v>23</v>
      </c>
      <c r="D537" s="3" t="s">
        <v>57</v>
      </c>
      <c r="E537" s="3" t="s">
        <v>29</v>
      </c>
      <c r="F537" s="0" t="n">
        <v>1</v>
      </c>
      <c r="G537" s="0" t="n">
        <v>549</v>
      </c>
      <c r="H537" s="0" t="n">
        <v>0</v>
      </c>
      <c r="I537" s="3" t="s">
        <v>227</v>
      </c>
      <c r="J537" s="0" t="n">
        <v>5</v>
      </c>
      <c r="K537" s="3" t="s">
        <v>43</v>
      </c>
      <c r="L537" s="0" t="str">
        <f aca="false">VLOOKUP(D537,Products!$A$2:$D$13,2,FALSE())</f>
        <v>Accessories</v>
      </c>
      <c r="M537" s="3" t="n">
        <f aca="false">F537*G537*(1-H537/100)</f>
        <v>549</v>
      </c>
      <c r="N537" s="0" t="str">
        <f aca="false">VLOOKUP(I537,Customers!$A$2:$D$121,3,FALSE())</f>
        <v>Kolkata</v>
      </c>
      <c r="O537" s="0" t="str">
        <f aca="false">VLOOKUP(I537,Customers!$A$2:$D$121,4,FALSE())</f>
        <v>Corporate</v>
      </c>
      <c r="P537" s="0" t="str">
        <f aca="false">TEXT(B537,"yyyy-mm")</f>
        <v>2025-04</v>
      </c>
    </row>
    <row r="538" customFormat="false" ht="15" hidden="false" customHeight="false" outlineLevel="0" collapsed="false">
      <c r="A538" s="0" t="s">
        <v>704</v>
      </c>
      <c r="B538" s="2" t="n">
        <v>45999</v>
      </c>
      <c r="C538" s="3" t="s">
        <v>17</v>
      </c>
      <c r="D538" s="3" t="s">
        <v>108</v>
      </c>
      <c r="E538" s="3" t="s">
        <v>93</v>
      </c>
      <c r="F538" s="0" t="n">
        <v>2</v>
      </c>
      <c r="G538" s="0" t="n">
        <v>180</v>
      </c>
      <c r="H538" s="0" t="n">
        <v>0</v>
      </c>
      <c r="I538" s="3" t="s">
        <v>81</v>
      </c>
      <c r="J538" s="0" t="n">
        <v>4</v>
      </c>
      <c r="K538" s="3" t="s">
        <v>21</v>
      </c>
      <c r="L538" s="0" t="str">
        <f aca="false">VLOOKUP(D538,Products!$A$2:$D$13,2,FALSE())</f>
        <v>Stationery</v>
      </c>
      <c r="M538" s="3" t="n">
        <f aca="false">F538*G538*(1-H538/100)</f>
        <v>360</v>
      </c>
      <c r="N538" s="0" t="str">
        <f aca="false">VLOOKUP(I538,Customers!$A$2:$D$121,3,FALSE())</f>
        <v>Pune</v>
      </c>
      <c r="O538" s="0" t="str">
        <f aca="false">VLOOKUP(I538,Customers!$A$2:$D$121,4,FALSE())</f>
        <v>Corporate</v>
      </c>
      <c r="P538" s="0" t="str">
        <f aca="false">TEXT(B538,"yyyy-mm")</f>
        <v>2025-12</v>
      </c>
    </row>
    <row r="539" customFormat="false" ht="15" hidden="false" customHeight="false" outlineLevel="0" collapsed="false">
      <c r="A539" s="0" t="s">
        <v>705</v>
      </c>
      <c r="B539" s="2" t="n">
        <v>46029</v>
      </c>
      <c r="C539" s="3" t="s">
        <v>36</v>
      </c>
      <c r="D539" s="3" t="s">
        <v>57</v>
      </c>
      <c r="E539" s="3" t="s">
        <v>38</v>
      </c>
      <c r="F539" s="0" t="n">
        <v>2</v>
      </c>
      <c r="G539" s="0" t="n">
        <v>549</v>
      </c>
      <c r="H539" s="0" t="n">
        <v>15</v>
      </c>
      <c r="I539" s="3" t="s">
        <v>58</v>
      </c>
      <c r="J539" s="0" t="n">
        <v>4</v>
      </c>
      <c r="K539" s="3" t="s">
        <v>21</v>
      </c>
      <c r="L539" s="0" t="str">
        <f aca="false">VLOOKUP(D539,Products!$A$2:$D$13,2,FALSE())</f>
        <v>Accessories</v>
      </c>
      <c r="M539" s="3" t="n">
        <f aca="false">F539*G539*(1-H539/100)</f>
        <v>933.3</v>
      </c>
      <c r="N539" s="0" t="str">
        <f aca="false">VLOOKUP(I539,Customers!$A$2:$D$121,3,FALSE())</f>
        <v>Kolkata</v>
      </c>
      <c r="O539" s="0" t="str">
        <f aca="false">VLOOKUP(I539,Customers!$A$2:$D$121,4,FALSE())</f>
        <v>Corporate</v>
      </c>
      <c r="P539" s="0" t="str">
        <f aca="false">TEXT(B539,"yyyy-mm")</f>
        <v>2026-01</v>
      </c>
    </row>
    <row r="540" customFormat="false" ht="15" hidden="false" customHeight="false" outlineLevel="0" collapsed="false">
      <c r="A540" s="0" t="s">
        <v>706</v>
      </c>
      <c r="B540" s="2" t="n">
        <v>46041</v>
      </c>
      <c r="C540" s="3" t="s">
        <v>51</v>
      </c>
      <c r="D540" s="3" t="s">
        <v>32</v>
      </c>
      <c r="E540" s="3" t="s">
        <v>83</v>
      </c>
      <c r="F540" s="0" t="n">
        <v>1</v>
      </c>
      <c r="G540" s="0" t="n">
        <v>249</v>
      </c>
      <c r="H540" s="0" t="n">
        <v>5</v>
      </c>
      <c r="I540" s="3" t="s">
        <v>67</v>
      </c>
      <c r="J540" s="0" t="n">
        <v>5</v>
      </c>
      <c r="K540" s="3" t="s">
        <v>34</v>
      </c>
      <c r="L540" s="0" t="str">
        <f aca="false">VLOOKUP(D540,Products!$A$2:$D$13,2,FALSE())</f>
        <v>Accessories</v>
      </c>
      <c r="M540" s="3" t="n">
        <f aca="false">F540*G540*(1-H540/100)</f>
        <v>236.55</v>
      </c>
      <c r="N540" s="0" t="str">
        <f aca="false">VLOOKUP(I540,Customers!$A$2:$D$121,3,FALSE())</f>
        <v>Jaipur</v>
      </c>
      <c r="O540" s="0" t="str">
        <f aca="false">VLOOKUP(I540,Customers!$A$2:$D$121,4,FALSE())</f>
        <v>Corporate</v>
      </c>
      <c r="P540" s="0" t="str">
        <f aca="false">TEXT(B540,"yyyy-mm")</f>
        <v>2026-01</v>
      </c>
    </row>
    <row r="541" customFormat="false" ht="15" hidden="false" customHeight="false" outlineLevel="0" collapsed="false">
      <c r="A541" s="0" t="s">
        <v>707</v>
      </c>
      <c r="B541" s="2" t="n">
        <v>46064</v>
      </c>
      <c r="C541" s="3" t="s">
        <v>23</v>
      </c>
      <c r="D541" s="3" t="s">
        <v>45</v>
      </c>
      <c r="E541" s="3" t="s">
        <v>24</v>
      </c>
      <c r="F541" s="0" t="n">
        <v>2</v>
      </c>
      <c r="G541" s="0" t="n">
        <v>30</v>
      </c>
      <c r="H541" s="0" t="n">
        <v>15</v>
      </c>
      <c r="I541" s="3" t="s">
        <v>217</v>
      </c>
      <c r="J541" s="0" t="n">
        <v>5</v>
      </c>
      <c r="K541" s="3" t="s">
        <v>43</v>
      </c>
      <c r="L541" s="0" t="str">
        <f aca="false">VLOOKUP(D541,Products!$A$2:$D$13,2,FALSE())</f>
        <v>Stationery</v>
      </c>
      <c r="M541" s="3" t="n">
        <f aca="false">F541*G541*(1-H541/100)</f>
        <v>51</v>
      </c>
      <c r="N541" s="0" t="str">
        <f aca="false">VLOOKUP(I541,Customers!$A$2:$D$121,3,FALSE())</f>
        <v>Nagpur</v>
      </c>
      <c r="O541" s="0" t="str">
        <f aca="false">VLOOKUP(I541,Customers!$A$2:$D$121,4,FALSE())</f>
        <v>Student</v>
      </c>
      <c r="P541" s="0" t="str">
        <f aca="false">TEXT(B541,"yyyy-mm")</f>
        <v>2026-02</v>
      </c>
    </row>
    <row r="542" customFormat="false" ht="15" hidden="false" customHeight="false" outlineLevel="0" collapsed="false">
      <c r="A542" s="0" t="s">
        <v>708</v>
      </c>
      <c r="B542" s="2" t="n">
        <v>45775</v>
      </c>
      <c r="C542" s="3" t="s">
        <v>72</v>
      </c>
      <c r="D542" s="3" t="s">
        <v>41</v>
      </c>
      <c r="E542" s="3" t="s">
        <v>73</v>
      </c>
      <c r="F542" s="0" t="n">
        <v>2</v>
      </c>
      <c r="G542" s="0" t="n">
        <v>399</v>
      </c>
      <c r="H542" s="0" t="n">
        <v>0</v>
      </c>
      <c r="I542" s="3" t="s">
        <v>304</v>
      </c>
      <c r="J542" s="0" t="n">
        <v>4</v>
      </c>
      <c r="K542" s="3" t="s">
        <v>34</v>
      </c>
      <c r="L542" s="0" t="str">
        <f aca="false">VLOOKUP(D542,Products!$A$2:$D$13,2,FALSE())</f>
        <v>Electronics</v>
      </c>
      <c r="M542" s="3" t="n">
        <f aca="false">F542*G542*(1-H542/100)</f>
        <v>798</v>
      </c>
      <c r="N542" s="0" t="str">
        <f aca="false">VLOOKUP(I542,Customers!$A$2:$D$121,3,FALSE())</f>
        <v>Delhi</v>
      </c>
      <c r="O542" s="0" t="str">
        <f aca="false">VLOOKUP(I542,Customers!$A$2:$D$121,4,FALSE())</f>
        <v>Retail</v>
      </c>
      <c r="P542" s="0" t="str">
        <f aca="false">TEXT(B542,"yyyy-mm")</f>
        <v>2025-04</v>
      </c>
    </row>
    <row r="543" customFormat="false" ht="15" hidden="false" customHeight="false" outlineLevel="0" collapsed="false">
      <c r="A543" s="0" t="s">
        <v>709</v>
      </c>
      <c r="B543" s="2" t="n">
        <v>45806</v>
      </c>
      <c r="C543" s="3" t="s">
        <v>51</v>
      </c>
      <c r="D543" s="3" t="s">
        <v>48</v>
      </c>
      <c r="E543" s="3" t="s">
        <v>52</v>
      </c>
      <c r="F543" s="0" t="n">
        <v>3</v>
      </c>
      <c r="G543" s="0" t="n">
        <v>199</v>
      </c>
      <c r="H543" s="0" t="n">
        <v>0</v>
      </c>
      <c r="I543" s="3" t="s">
        <v>33</v>
      </c>
      <c r="J543" s="0" t="n">
        <v>4</v>
      </c>
      <c r="K543" s="3" t="s">
        <v>34</v>
      </c>
      <c r="L543" s="0" t="str">
        <f aca="false">VLOOKUP(D543,Products!$A$2:$D$13,2,FALSE())</f>
        <v>Home</v>
      </c>
      <c r="M543" s="3" t="n">
        <f aca="false">F543*G543*(1-H543/100)</f>
        <v>597</v>
      </c>
      <c r="N543" s="0" t="str">
        <f aca="false">VLOOKUP(I543,Customers!$A$2:$D$121,3,FALSE())</f>
        <v>Indore</v>
      </c>
      <c r="O543" s="0" t="str">
        <f aca="false">VLOOKUP(I543,Customers!$A$2:$D$121,4,FALSE())</f>
        <v>Corporate</v>
      </c>
      <c r="P543" s="0" t="str">
        <f aca="false">TEXT(B543,"yyyy-mm")</f>
        <v>2025-05</v>
      </c>
    </row>
    <row r="544" customFormat="false" ht="15" hidden="false" customHeight="false" outlineLevel="0" collapsed="false">
      <c r="A544" s="0" t="s">
        <v>710</v>
      </c>
      <c r="B544" s="2" t="n">
        <v>46028</v>
      </c>
      <c r="C544" s="3" t="s">
        <v>72</v>
      </c>
      <c r="D544" s="3" t="s">
        <v>41</v>
      </c>
      <c r="E544" s="3" t="s">
        <v>89</v>
      </c>
      <c r="F544" s="0" t="n">
        <v>2</v>
      </c>
      <c r="G544" s="0" t="n">
        <v>399</v>
      </c>
      <c r="H544" s="0" t="n">
        <v>10</v>
      </c>
      <c r="I544" s="3" t="s">
        <v>317</v>
      </c>
      <c r="J544" s="0" t="n">
        <v>4</v>
      </c>
      <c r="K544" s="3" t="s">
        <v>26</v>
      </c>
      <c r="L544" s="0" t="str">
        <f aca="false">VLOOKUP(D544,Products!$A$2:$D$13,2,FALSE())</f>
        <v>Electronics</v>
      </c>
      <c r="M544" s="3" t="n">
        <f aca="false">F544*G544*(1-H544/100)</f>
        <v>718.2</v>
      </c>
      <c r="N544" s="0" t="str">
        <f aca="false">VLOOKUP(I544,Customers!$A$2:$D$121,3,FALSE())</f>
        <v>Jaipur</v>
      </c>
      <c r="O544" s="0" t="str">
        <f aca="false">VLOOKUP(I544,Customers!$A$2:$D$121,4,FALSE())</f>
        <v>Student</v>
      </c>
      <c r="P544" s="0" t="str">
        <f aca="false">TEXT(B544,"yyyy-mm")</f>
        <v>2026-01</v>
      </c>
    </row>
    <row r="545" customFormat="false" ht="15" hidden="false" customHeight="false" outlineLevel="0" collapsed="false">
      <c r="A545" s="0" t="s">
        <v>711</v>
      </c>
      <c r="B545" s="2" t="n">
        <v>45957</v>
      </c>
      <c r="C545" s="3" t="s">
        <v>36</v>
      </c>
      <c r="D545" s="3" t="s">
        <v>32</v>
      </c>
      <c r="E545" s="3" t="s">
        <v>38</v>
      </c>
      <c r="F545" s="0" t="n">
        <v>4</v>
      </c>
      <c r="G545" s="0" t="n">
        <v>249</v>
      </c>
      <c r="H545" s="0" t="n">
        <v>0</v>
      </c>
      <c r="I545" s="3" t="s">
        <v>128</v>
      </c>
      <c r="J545" s="0" t="n">
        <v>4</v>
      </c>
      <c r="K545" s="3" t="s">
        <v>21</v>
      </c>
      <c r="L545" s="0" t="str">
        <f aca="false">VLOOKUP(D545,Products!$A$2:$D$13,2,FALSE())</f>
        <v>Accessories</v>
      </c>
      <c r="M545" s="3" t="n">
        <f aca="false">F545*G545*(1-H545/100)</f>
        <v>996</v>
      </c>
      <c r="N545" s="0" t="str">
        <f aca="false">VLOOKUP(I545,Customers!$A$2:$D$121,3,FALSE())</f>
        <v>Indore</v>
      </c>
      <c r="O545" s="0" t="str">
        <f aca="false">VLOOKUP(I545,Customers!$A$2:$D$121,4,FALSE())</f>
        <v>Corporate</v>
      </c>
      <c r="P545" s="0" t="str">
        <f aca="false">TEXT(B545,"yyyy-mm")</f>
        <v>2025-10</v>
      </c>
    </row>
    <row r="546" customFormat="false" ht="15" hidden="false" customHeight="false" outlineLevel="0" collapsed="false">
      <c r="A546" s="0" t="s">
        <v>712</v>
      </c>
      <c r="B546" s="2" t="n">
        <v>45982</v>
      </c>
      <c r="C546" s="3" t="s">
        <v>36</v>
      </c>
      <c r="D546" s="3" t="s">
        <v>88</v>
      </c>
      <c r="E546" s="3" t="s">
        <v>69</v>
      </c>
      <c r="F546" s="0" t="n">
        <v>2</v>
      </c>
      <c r="G546" s="0" t="n">
        <v>799</v>
      </c>
      <c r="H546" s="0" t="n">
        <v>0</v>
      </c>
      <c r="I546" s="3" t="s">
        <v>375</v>
      </c>
      <c r="J546" s="0" t="n">
        <v>4</v>
      </c>
      <c r="K546" s="3" t="s">
        <v>21</v>
      </c>
      <c r="L546" s="0" t="str">
        <f aca="false">VLOOKUP(D546,Products!$A$2:$D$13,2,FALSE())</f>
        <v>Accessories</v>
      </c>
      <c r="M546" s="3" t="n">
        <f aca="false">F546*G546*(1-H546/100)</f>
        <v>1598</v>
      </c>
      <c r="N546" s="0" t="str">
        <f aca="false">VLOOKUP(I546,Customers!$A$2:$D$121,3,FALSE())</f>
        <v>Mumbai</v>
      </c>
      <c r="O546" s="0" t="str">
        <f aca="false">VLOOKUP(I546,Customers!$A$2:$D$121,4,FALSE())</f>
        <v>Student</v>
      </c>
      <c r="P546" s="0" t="str">
        <f aca="false">TEXT(B546,"yyyy-mm")</f>
        <v>2025-11</v>
      </c>
    </row>
    <row r="547" customFormat="false" ht="15" hidden="false" customHeight="false" outlineLevel="0" collapsed="false">
      <c r="A547" s="0" t="s">
        <v>713</v>
      </c>
      <c r="B547" s="2" t="n">
        <v>45811</v>
      </c>
      <c r="C547" s="3" t="s">
        <v>23</v>
      </c>
      <c r="D547" s="3" t="s">
        <v>18</v>
      </c>
      <c r="E547" s="3" t="s">
        <v>24</v>
      </c>
      <c r="F547" s="0" t="n">
        <v>2</v>
      </c>
      <c r="G547" s="0" t="n">
        <v>349</v>
      </c>
      <c r="H547" s="0" t="n">
        <v>5</v>
      </c>
      <c r="I547" s="3" t="s">
        <v>63</v>
      </c>
      <c r="J547" s="0" t="n">
        <v>4</v>
      </c>
      <c r="K547" s="3" t="s">
        <v>43</v>
      </c>
      <c r="L547" s="0" t="str">
        <f aca="false">VLOOKUP(D547,Products!$A$2:$D$13,2,FALSE())</f>
        <v>Home</v>
      </c>
      <c r="M547" s="3" t="n">
        <f aca="false">F547*G547*(1-H547/100)</f>
        <v>663.1</v>
      </c>
      <c r="N547" s="0" t="str">
        <f aca="false">VLOOKUP(I547,Customers!$A$2:$D$121,3,FALSE())</f>
        <v>Indore</v>
      </c>
      <c r="O547" s="0" t="str">
        <f aca="false">VLOOKUP(I547,Customers!$A$2:$D$121,4,FALSE())</f>
        <v>Student</v>
      </c>
      <c r="P547" s="0" t="str">
        <f aca="false">TEXT(B547,"yyyy-mm")</f>
        <v>2025-06</v>
      </c>
    </row>
    <row r="548" customFormat="false" ht="15" hidden="false" customHeight="false" outlineLevel="0" collapsed="false">
      <c r="A548" s="0" t="s">
        <v>714</v>
      </c>
      <c r="B548" s="2" t="n">
        <v>45772</v>
      </c>
      <c r="C548" s="3" t="s">
        <v>23</v>
      </c>
      <c r="D548" s="3" t="s">
        <v>60</v>
      </c>
      <c r="E548" s="3" t="s">
        <v>29</v>
      </c>
      <c r="F548" s="0" t="n">
        <v>4</v>
      </c>
      <c r="G548" s="0" t="n">
        <v>40</v>
      </c>
      <c r="H548" s="0" t="n">
        <v>10</v>
      </c>
      <c r="I548" s="3" t="s">
        <v>249</v>
      </c>
      <c r="J548" s="0" t="n">
        <v>4</v>
      </c>
      <c r="K548" s="3" t="s">
        <v>26</v>
      </c>
      <c r="L548" s="0" t="str">
        <f aca="false">VLOOKUP(D548,Products!$A$2:$D$13,2,FALSE())</f>
        <v>Stationery</v>
      </c>
      <c r="M548" s="3" t="n">
        <f aca="false">F548*G548*(1-H548/100)</f>
        <v>144</v>
      </c>
      <c r="N548" s="0" t="str">
        <f aca="false">VLOOKUP(I548,Customers!$A$2:$D$121,3,FALSE())</f>
        <v>Jaipur</v>
      </c>
      <c r="O548" s="0" t="str">
        <f aca="false">VLOOKUP(I548,Customers!$A$2:$D$121,4,FALSE())</f>
        <v>Retail</v>
      </c>
      <c r="P548" s="0" t="str">
        <f aca="false">TEXT(B548,"yyyy-mm")</f>
        <v>2025-04</v>
      </c>
    </row>
    <row r="549" customFormat="false" ht="15" hidden="false" customHeight="false" outlineLevel="0" collapsed="false">
      <c r="A549" s="0" t="s">
        <v>715</v>
      </c>
      <c r="B549" s="2" t="n">
        <v>45836</v>
      </c>
      <c r="C549" s="3" t="s">
        <v>23</v>
      </c>
      <c r="D549" s="3" t="s">
        <v>48</v>
      </c>
      <c r="E549" s="3" t="s">
        <v>29</v>
      </c>
      <c r="F549" s="0" t="n">
        <v>1</v>
      </c>
      <c r="G549" s="0" t="n">
        <v>199</v>
      </c>
      <c r="H549" s="0" t="n">
        <v>15</v>
      </c>
      <c r="I549" s="3" t="s">
        <v>373</v>
      </c>
      <c r="J549" s="0" t="n">
        <v>2</v>
      </c>
      <c r="K549" s="3" t="s">
        <v>34</v>
      </c>
      <c r="L549" s="0" t="str">
        <f aca="false">VLOOKUP(D549,Products!$A$2:$D$13,2,FALSE())</f>
        <v>Home</v>
      </c>
      <c r="M549" s="3" t="n">
        <f aca="false">F549*G549*(1-H549/100)</f>
        <v>169.15</v>
      </c>
      <c r="N549" s="0" t="str">
        <f aca="false">VLOOKUP(I549,Customers!$A$2:$D$121,3,FALSE())</f>
        <v>Bhopal</v>
      </c>
      <c r="O549" s="0" t="str">
        <f aca="false">VLOOKUP(I549,Customers!$A$2:$D$121,4,FALSE())</f>
        <v>Corporate</v>
      </c>
      <c r="P549" s="0" t="str">
        <f aca="false">TEXT(B549,"yyyy-mm")</f>
        <v>2025-06</v>
      </c>
    </row>
    <row r="550" customFormat="false" ht="15" hidden="false" customHeight="false" outlineLevel="0" collapsed="false">
      <c r="A550" s="0" t="s">
        <v>716</v>
      </c>
      <c r="B550" s="2" t="n">
        <v>45962</v>
      </c>
      <c r="C550" s="3" t="s">
        <v>51</v>
      </c>
      <c r="D550" s="3" t="s">
        <v>57</v>
      </c>
      <c r="E550" s="3" t="s">
        <v>52</v>
      </c>
      <c r="F550" s="0" t="n">
        <v>1</v>
      </c>
      <c r="G550" s="0" t="n">
        <v>549</v>
      </c>
      <c r="H550" s="0" t="n">
        <v>10</v>
      </c>
      <c r="I550" s="3" t="s">
        <v>79</v>
      </c>
      <c r="J550" s="0" t="n">
        <v>4</v>
      </c>
      <c r="K550" s="3" t="s">
        <v>34</v>
      </c>
      <c r="L550" s="0" t="str">
        <f aca="false">VLOOKUP(D550,Products!$A$2:$D$13,2,FALSE())</f>
        <v>Accessories</v>
      </c>
      <c r="M550" s="3" t="n">
        <f aca="false">F550*G550*(1-H550/100)</f>
        <v>494.1</v>
      </c>
      <c r="N550" s="0" t="str">
        <f aca="false">VLOOKUP(I550,Customers!$A$2:$D$121,3,FALSE())</f>
        <v>Bhopal</v>
      </c>
      <c r="O550" s="0" t="str">
        <f aca="false">VLOOKUP(I550,Customers!$A$2:$D$121,4,FALSE())</f>
        <v>Retail</v>
      </c>
      <c r="P550" s="0" t="str">
        <f aca="false">TEXT(B550,"yyyy-mm")</f>
        <v>2025-11</v>
      </c>
    </row>
    <row r="551" customFormat="false" ht="15" hidden="false" customHeight="false" outlineLevel="0" collapsed="false">
      <c r="A551" s="0" t="s">
        <v>717</v>
      </c>
      <c r="B551" s="2" t="n">
        <v>45898</v>
      </c>
      <c r="C551" s="3" t="s">
        <v>72</v>
      </c>
      <c r="D551" s="3" t="s">
        <v>88</v>
      </c>
      <c r="E551" s="3" t="s">
        <v>73</v>
      </c>
      <c r="F551" s="0" t="n">
        <v>1</v>
      </c>
      <c r="G551" s="0" t="n">
        <v>799</v>
      </c>
      <c r="H551" s="0" t="n">
        <v>5</v>
      </c>
      <c r="I551" s="3" t="s">
        <v>189</v>
      </c>
      <c r="J551" s="0" t="n">
        <v>3</v>
      </c>
      <c r="K551" s="3" t="s">
        <v>34</v>
      </c>
      <c r="L551" s="0" t="str">
        <f aca="false">VLOOKUP(D551,Products!$A$2:$D$13,2,FALSE())</f>
        <v>Accessories</v>
      </c>
      <c r="M551" s="3" t="n">
        <f aca="false">F551*G551*(1-H551/100)</f>
        <v>759.05</v>
      </c>
      <c r="N551" s="0" t="str">
        <f aca="false">VLOOKUP(I551,Customers!$A$2:$D$121,3,FALSE())</f>
        <v>Bhopal</v>
      </c>
      <c r="O551" s="0" t="str">
        <f aca="false">VLOOKUP(I551,Customers!$A$2:$D$121,4,FALSE())</f>
        <v>Retail</v>
      </c>
      <c r="P551" s="0" t="str">
        <f aca="false">TEXT(B551,"yyyy-mm")</f>
        <v>2025-08</v>
      </c>
    </row>
    <row r="552" customFormat="false" ht="15" hidden="false" customHeight="false" outlineLevel="0" collapsed="false">
      <c r="A552" s="0" t="s">
        <v>718</v>
      </c>
      <c r="B552" s="2" t="n">
        <v>45908</v>
      </c>
      <c r="C552" s="3" t="s">
        <v>23</v>
      </c>
      <c r="D552" s="3" t="s">
        <v>48</v>
      </c>
      <c r="E552" s="3" t="s">
        <v>24</v>
      </c>
      <c r="F552" s="0" t="n">
        <v>3</v>
      </c>
      <c r="G552" s="0" t="n">
        <v>199</v>
      </c>
      <c r="H552" s="0" t="n">
        <v>15</v>
      </c>
      <c r="I552" s="3" t="s">
        <v>219</v>
      </c>
      <c r="J552" s="0" t="n">
        <v>5</v>
      </c>
      <c r="K552" s="3" t="s">
        <v>26</v>
      </c>
      <c r="L552" s="0" t="str">
        <f aca="false">VLOOKUP(D552,Products!$A$2:$D$13,2,FALSE())</f>
        <v>Home</v>
      </c>
      <c r="M552" s="3" t="n">
        <f aca="false">F552*G552*(1-H552/100)</f>
        <v>507.45</v>
      </c>
      <c r="N552" s="0" t="str">
        <f aca="false">VLOOKUP(I552,Customers!$A$2:$D$121,3,FALSE())</f>
        <v>Chennai</v>
      </c>
      <c r="O552" s="0" t="str">
        <f aca="false">VLOOKUP(I552,Customers!$A$2:$D$121,4,FALSE())</f>
        <v>Retail</v>
      </c>
      <c r="P552" s="0" t="str">
        <f aca="false">TEXT(B552,"yyyy-mm")</f>
        <v>2025-09</v>
      </c>
    </row>
    <row r="553" customFormat="false" ht="15" hidden="false" customHeight="false" outlineLevel="0" collapsed="false">
      <c r="A553" s="0" t="s">
        <v>719</v>
      </c>
      <c r="B553" s="2" t="n">
        <v>45896</v>
      </c>
      <c r="C553" s="3" t="s">
        <v>23</v>
      </c>
      <c r="D553" s="3" t="s">
        <v>28</v>
      </c>
      <c r="E553" s="3" t="s">
        <v>24</v>
      </c>
      <c r="F553" s="0" t="n">
        <v>2</v>
      </c>
      <c r="G553" s="0" t="n">
        <v>450</v>
      </c>
      <c r="H553" s="0" t="n">
        <v>15</v>
      </c>
      <c r="I553" s="3" t="s">
        <v>141</v>
      </c>
      <c r="J553" s="0" t="n">
        <v>5</v>
      </c>
      <c r="K553" s="3" t="s">
        <v>26</v>
      </c>
      <c r="L553" s="0" t="str">
        <f aca="false">VLOOKUP(D553,Products!$A$2:$D$13,2,FALSE())</f>
        <v>Electronics</v>
      </c>
      <c r="M553" s="3" t="n">
        <f aca="false">F553*G553*(1-H553/100)</f>
        <v>765</v>
      </c>
      <c r="N553" s="0" t="str">
        <f aca="false">VLOOKUP(I553,Customers!$A$2:$D$121,3,FALSE())</f>
        <v>Bhopal</v>
      </c>
      <c r="O553" s="0" t="str">
        <f aca="false">VLOOKUP(I553,Customers!$A$2:$D$121,4,FALSE())</f>
        <v>Student</v>
      </c>
      <c r="P553" s="0" t="str">
        <f aca="false">TEXT(B553,"yyyy-mm")</f>
        <v>2025-08</v>
      </c>
    </row>
    <row r="554" customFormat="false" ht="15" hidden="false" customHeight="false" outlineLevel="0" collapsed="false">
      <c r="A554" s="0" t="s">
        <v>720</v>
      </c>
      <c r="B554" s="2" t="n">
        <v>46103</v>
      </c>
      <c r="C554" s="3" t="s">
        <v>23</v>
      </c>
      <c r="D554" s="3" t="s">
        <v>57</v>
      </c>
      <c r="E554" s="3" t="s">
        <v>29</v>
      </c>
      <c r="F554" s="0" t="n">
        <v>3</v>
      </c>
      <c r="G554" s="0" t="n">
        <v>549</v>
      </c>
      <c r="H554" s="0" t="n">
        <v>15</v>
      </c>
      <c r="I554" s="3" t="s">
        <v>150</v>
      </c>
      <c r="J554" s="0" t="n">
        <v>4</v>
      </c>
      <c r="K554" s="3" t="s">
        <v>43</v>
      </c>
      <c r="L554" s="0" t="str">
        <f aca="false">VLOOKUP(D554,Products!$A$2:$D$13,2,FALSE())</f>
        <v>Accessories</v>
      </c>
      <c r="M554" s="3" t="n">
        <f aca="false">F554*G554*(1-H554/100)</f>
        <v>1399.95</v>
      </c>
      <c r="N554" s="0" t="str">
        <f aca="false">VLOOKUP(I554,Customers!$A$2:$D$121,3,FALSE())</f>
        <v>Indore</v>
      </c>
      <c r="O554" s="0" t="str">
        <f aca="false">VLOOKUP(I554,Customers!$A$2:$D$121,4,FALSE())</f>
        <v>Student</v>
      </c>
      <c r="P554" s="0" t="str">
        <f aca="false">TEXT(B554,"yyyy-mm")</f>
        <v>2026-03</v>
      </c>
    </row>
    <row r="555" customFormat="false" ht="15" hidden="false" customHeight="false" outlineLevel="0" collapsed="false">
      <c r="A555" s="0" t="s">
        <v>721</v>
      </c>
      <c r="B555" s="2" t="n">
        <v>46089</v>
      </c>
      <c r="C555" s="3" t="s">
        <v>23</v>
      </c>
      <c r="D555" s="3" t="s">
        <v>116</v>
      </c>
      <c r="E555" s="3" t="s">
        <v>29</v>
      </c>
      <c r="F555" s="0" t="n">
        <v>1</v>
      </c>
      <c r="G555" s="0" t="n">
        <v>699</v>
      </c>
      <c r="H555" s="0" t="n">
        <v>15</v>
      </c>
      <c r="I555" s="3" t="s">
        <v>322</v>
      </c>
      <c r="J555" s="0" t="n">
        <v>4</v>
      </c>
      <c r="K555" s="3" t="s">
        <v>43</v>
      </c>
      <c r="L555" s="0" t="str">
        <f aca="false">VLOOKUP(D555,Products!$A$2:$D$13,2,FALSE())</f>
        <v>Home</v>
      </c>
      <c r="M555" s="3" t="n">
        <f aca="false">F555*G555*(1-H555/100)</f>
        <v>594.15</v>
      </c>
      <c r="N555" s="0" t="str">
        <f aca="false">VLOOKUP(I555,Customers!$A$2:$D$121,3,FALSE())</f>
        <v>Kolkata</v>
      </c>
      <c r="O555" s="0" t="str">
        <f aca="false">VLOOKUP(I555,Customers!$A$2:$D$121,4,FALSE())</f>
        <v>Retail</v>
      </c>
      <c r="P555" s="0" t="str">
        <f aca="false">TEXT(B555,"yyyy-mm")</f>
        <v>2026-03</v>
      </c>
    </row>
    <row r="556" customFormat="false" ht="15" hidden="false" customHeight="false" outlineLevel="0" collapsed="false">
      <c r="A556" s="0" t="s">
        <v>722</v>
      </c>
      <c r="B556" s="2" t="n">
        <v>45802</v>
      </c>
      <c r="C556" s="3" t="s">
        <v>23</v>
      </c>
      <c r="D556" s="3" t="s">
        <v>60</v>
      </c>
      <c r="E556" s="3" t="s">
        <v>24</v>
      </c>
      <c r="F556" s="0" t="n">
        <v>1</v>
      </c>
      <c r="G556" s="0" t="n">
        <v>40</v>
      </c>
      <c r="H556" s="0" t="n">
        <v>0</v>
      </c>
      <c r="I556" s="3" t="s">
        <v>58</v>
      </c>
      <c r="J556" s="0" t="n">
        <v>3</v>
      </c>
      <c r="K556" s="3" t="s">
        <v>26</v>
      </c>
      <c r="L556" s="0" t="str">
        <f aca="false">VLOOKUP(D556,Products!$A$2:$D$13,2,FALSE())</f>
        <v>Stationery</v>
      </c>
      <c r="M556" s="3" t="n">
        <f aca="false">F556*G556*(1-H556/100)</f>
        <v>40</v>
      </c>
      <c r="N556" s="0" t="str">
        <f aca="false">VLOOKUP(I556,Customers!$A$2:$D$121,3,FALSE())</f>
        <v>Kolkata</v>
      </c>
      <c r="O556" s="0" t="str">
        <f aca="false">VLOOKUP(I556,Customers!$A$2:$D$121,4,FALSE())</f>
        <v>Corporate</v>
      </c>
      <c r="P556" s="0" t="str">
        <f aca="false">TEXT(B556,"yyyy-mm")</f>
        <v>2025-05</v>
      </c>
    </row>
    <row r="557" customFormat="false" ht="15" hidden="false" customHeight="false" outlineLevel="0" collapsed="false">
      <c r="A557" s="0" t="s">
        <v>723</v>
      </c>
      <c r="B557" s="2" t="n">
        <v>45764</v>
      </c>
      <c r="C557" s="3" t="s">
        <v>23</v>
      </c>
      <c r="D557" s="3" t="s">
        <v>28</v>
      </c>
      <c r="E557" s="3" t="s">
        <v>24</v>
      </c>
      <c r="F557" s="0" t="n">
        <v>1</v>
      </c>
      <c r="G557" s="0" t="n">
        <v>450</v>
      </c>
      <c r="H557" s="0" t="n">
        <v>0</v>
      </c>
      <c r="I557" s="3" t="s">
        <v>373</v>
      </c>
      <c r="J557" s="0" t="n">
        <v>4</v>
      </c>
      <c r="K557" s="3" t="s">
        <v>43</v>
      </c>
      <c r="L557" s="0" t="str">
        <f aca="false">VLOOKUP(D557,Products!$A$2:$D$13,2,FALSE())</f>
        <v>Electronics</v>
      </c>
      <c r="M557" s="3" t="n">
        <f aca="false">F557*G557*(1-H557/100)</f>
        <v>450</v>
      </c>
      <c r="N557" s="0" t="str">
        <f aca="false">VLOOKUP(I557,Customers!$A$2:$D$121,3,FALSE())</f>
        <v>Bhopal</v>
      </c>
      <c r="O557" s="0" t="str">
        <f aca="false">VLOOKUP(I557,Customers!$A$2:$D$121,4,FALSE())</f>
        <v>Corporate</v>
      </c>
      <c r="P557" s="0" t="str">
        <f aca="false">TEXT(B557,"yyyy-mm")</f>
        <v>2025-04</v>
      </c>
    </row>
    <row r="558" customFormat="false" ht="15" hidden="false" customHeight="false" outlineLevel="0" collapsed="false">
      <c r="A558" s="0" t="s">
        <v>724</v>
      </c>
      <c r="B558" s="2" t="n">
        <v>46104</v>
      </c>
      <c r="C558" s="3" t="s">
        <v>23</v>
      </c>
      <c r="D558" s="3" t="s">
        <v>28</v>
      </c>
      <c r="E558" s="3" t="s">
        <v>29</v>
      </c>
      <c r="F558" s="0" t="n">
        <v>2</v>
      </c>
      <c r="G558" s="0" t="n">
        <v>450</v>
      </c>
      <c r="H558" s="0" t="n">
        <v>0</v>
      </c>
      <c r="I558" s="3" t="s">
        <v>161</v>
      </c>
      <c r="J558" s="0" t="n">
        <v>4</v>
      </c>
      <c r="K558" s="3" t="s">
        <v>43</v>
      </c>
      <c r="L558" s="0" t="str">
        <f aca="false">VLOOKUP(D558,Products!$A$2:$D$13,2,FALSE())</f>
        <v>Electronics</v>
      </c>
      <c r="M558" s="3" t="n">
        <f aca="false">F558*G558*(1-H558/100)</f>
        <v>900</v>
      </c>
      <c r="N558" s="0" t="str">
        <f aca="false">VLOOKUP(I558,Customers!$A$2:$D$121,3,FALSE())</f>
        <v>Lucknow</v>
      </c>
      <c r="O558" s="0" t="str">
        <f aca="false">VLOOKUP(I558,Customers!$A$2:$D$121,4,FALSE())</f>
        <v>Corporate</v>
      </c>
      <c r="P558" s="0" t="str">
        <f aca="false">TEXT(B558,"yyyy-mm")</f>
        <v>2026-03</v>
      </c>
    </row>
    <row r="559" customFormat="false" ht="15" hidden="false" customHeight="false" outlineLevel="0" collapsed="false">
      <c r="A559" s="0" t="s">
        <v>725</v>
      </c>
      <c r="B559" s="2" t="n">
        <v>46030</v>
      </c>
      <c r="C559" s="3" t="s">
        <v>72</v>
      </c>
      <c r="D559" s="3" t="s">
        <v>88</v>
      </c>
      <c r="E559" s="3" t="s">
        <v>89</v>
      </c>
      <c r="F559" s="0" t="n">
        <v>1</v>
      </c>
      <c r="G559" s="0" t="n">
        <v>799</v>
      </c>
      <c r="H559" s="0" t="n">
        <v>0</v>
      </c>
      <c r="I559" s="3" t="s">
        <v>210</v>
      </c>
      <c r="J559" s="0" t="n">
        <v>5</v>
      </c>
      <c r="K559" s="3" t="s">
        <v>43</v>
      </c>
      <c r="L559" s="0" t="str">
        <f aca="false">VLOOKUP(D559,Products!$A$2:$D$13,2,FALSE())</f>
        <v>Accessories</v>
      </c>
      <c r="M559" s="3" t="n">
        <f aca="false">F559*G559*(1-H559/100)</f>
        <v>799</v>
      </c>
      <c r="N559" s="0" t="str">
        <f aca="false">VLOOKUP(I559,Customers!$A$2:$D$121,3,FALSE())</f>
        <v>Indore</v>
      </c>
      <c r="O559" s="0" t="str">
        <f aca="false">VLOOKUP(I559,Customers!$A$2:$D$121,4,FALSE())</f>
        <v>Student</v>
      </c>
      <c r="P559" s="0" t="str">
        <f aca="false">TEXT(B559,"yyyy-mm")</f>
        <v>2026-01</v>
      </c>
    </row>
    <row r="560" customFormat="false" ht="15" hidden="false" customHeight="false" outlineLevel="0" collapsed="false">
      <c r="A560" s="0" t="s">
        <v>726</v>
      </c>
      <c r="B560" s="2" t="n">
        <v>46049</v>
      </c>
      <c r="C560" s="3" t="s">
        <v>72</v>
      </c>
      <c r="D560" s="3" t="s">
        <v>28</v>
      </c>
      <c r="E560" s="3" t="s">
        <v>89</v>
      </c>
      <c r="F560" s="0" t="n">
        <v>1</v>
      </c>
      <c r="G560" s="0" t="n">
        <v>450</v>
      </c>
      <c r="H560" s="0" t="n">
        <v>10</v>
      </c>
      <c r="I560" s="3" t="s">
        <v>219</v>
      </c>
      <c r="J560" s="0" t="n">
        <v>4</v>
      </c>
      <c r="K560" s="3" t="s">
        <v>34</v>
      </c>
      <c r="L560" s="0" t="str">
        <f aca="false">VLOOKUP(D560,Products!$A$2:$D$13,2,FALSE())</f>
        <v>Electronics</v>
      </c>
      <c r="M560" s="3" t="n">
        <f aca="false">F560*G560*(1-H560/100)</f>
        <v>405</v>
      </c>
      <c r="N560" s="0" t="str">
        <f aca="false">VLOOKUP(I560,Customers!$A$2:$D$121,3,FALSE())</f>
        <v>Chennai</v>
      </c>
      <c r="O560" s="0" t="str">
        <f aca="false">VLOOKUP(I560,Customers!$A$2:$D$121,4,FALSE())</f>
        <v>Retail</v>
      </c>
      <c r="P560" s="0" t="str">
        <f aca="false">TEXT(B560,"yyyy-mm")</f>
        <v>2026-01</v>
      </c>
    </row>
    <row r="561" customFormat="false" ht="15" hidden="false" customHeight="false" outlineLevel="0" collapsed="false">
      <c r="A561" s="0" t="s">
        <v>727</v>
      </c>
      <c r="B561" s="2" t="n">
        <v>46097</v>
      </c>
      <c r="C561" s="3" t="s">
        <v>36</v>
      </c>
      <c r="D561" s="3" t="s">
        <v>32</v>
      </c>
      <c r="E561" s="3" t="s">
        <v>38</v>
      </c>
      <c r="F561" s="0" t="n">
        <v>4</v>
      </c>
      <c r="G561" s="0" t="n">
        <v>249</v>
      </c>
      <c r="H561" s="0" t="n">
        <v>0</v>
      </c>
      <c r="I561" s="3" t="s">
        <v>178</v>
      </c>
      <c r="J561" s="0" t="n">
        <v>5</v>
      </c>
      <c r="K561" s="3" t="s">
        <v>43</v>
      </c>
      <c r="L561" s="0" t="str">
        <f aca="false">VLOOKUP(D561,Products!$A$2:$D$13,2,FALSE())</f>
        <v>Accessories</v>
      </c>
      <c r="M561" s="3" t="n">
        <f aca="false">F561*G561*(1-H561/100)</f>
        <v>996</v>
      </c>
      <c r="N561" s="0" t="str">
        <f aca="false">VLOOKUP(I561,Customers!$A$2:$D$121,3,FALSE())</f>
        <v>Nagpur</v>
      </c>
      <c r="O561" s="0" t="str">
        <f aca="false">VLOOKUP(I561,Customers!$A$2:$D$121,4,FALSE())</f>
        <v>Student</v>
      </c>
      <c r="P561" s="0" t="str">
        <f aca="false">TEXT(B561,"yyyy-mm")</f>
        <v>2026-03</v>
      </c>
    </row>
    <row r="562" customFormat="false" ht="15" hidden="false" customHeight="false" outlineLevel="0" collapsed="false">
      <c r="A562" s="0" t="s">
        <v>728</v>
      </c>
      <c r="B562" s="2" t="n">
        <v>45890</v>
      </c>
      <c r="C562" s="3" t="s">
        <v>51</v>
      </c>
      <c r="D562" s="3" t="s">
        <v>60</v>
      </c>
      <c r="E562" s="3" t="s">
        <v>83</v>
      </c>
      <c r="F562" s="0" t="n">
        <v>1</v>
      </c>
      <c r="G562" s="0" t="n">
        <v>40</v>
      </c>
      <c r="H562" s="0" t="n">
        <v>10</v>
      </c>
      <c r="I562" s="3" t="s">
        <v>447</v>
      </c>
      <c r="J562" s="0" t="n">
        <v>3</v>
      </c>
      <c r="K562" s="3" t="s">
        <v>21</v>
      </c>
      <c r="L562" s="0" t="str">
        <f aca="false">VLOOKUP(D562,Products!$A$2:$D$13,2,FALSE())</f>
        <v>Stationery</v>
      </c>
      <c r="M562" s="3" t="n">
        <f aca="false">F562*G562*(1-H562/100)</f>
        <v>36</v>
      </c>
      <c r="N562" s="0" t="str">
        <f aca="false">VLOOKUP(I562,Customers!$A$2:$D$121,3,FALSE())</f>
        <v>Indore</v>
      </c>
      <c r="O562" s="0" t="str">
        <f aca="false">VLOOKUP(I562,Customers!$A$2:$D$121,4,FALSE())</f>
        <v>Student</v>
      </c>
      <c r="P562" s="0" t="str">
        <f aca="false">TEXT(B562,"yyyy-mm")</f>
        <v>2025-08</v>
      </c>
    </row>
    <row r="563" customFormat="false" ht="15" hidden="false" customHeight="false" outlineLevel="0" collapsed="false">
      <c r="A563" s="0" t="s">
        <v>729</v>
      </c>
      <c r="B563" s="2" t="n">
        <v>46111</v>
      </c>
      <c r="C563" s="3" t="s">
        <v>51</v>
      </c>
      <c r="D563" s="3" t="s">
        <v>41</v>
      </c>
      <c r="E563" s="3" t="s">
        <v>83</v>
      </c>
      <c r="F563" s="0" t="n">
        <v>2</v>
      </c>
      <c r="G563" s="0" t="n">
        <v>399</v>
      </c>
      <c r="H563" s="0" t="n">
        <v>0</v>
      </c>
      <c r="I563" s="3" t="s">
        <v>158</v>
      </c>
      <c r="J563" s="0" t="n">
        <v>3</v>
      </c>
      <c r="K563" s="3" t="s">
        <v>21</v>
      </c>
      <c r="L563" s="0" t="str">
        <f aca="false">VLOOKUP(D563,Products!$A$2:$D$13,2,FALSE())</f>
        <v>Electronics</v>
      </c>
      <c r="M563" s="3" t="n">
        <f aca="false">F563*G563*(1-H563/100)</f>
        <v>798</v>
      </c>
      <c r="N563" s="0" t="str">
        <f aca="false">VLOOKUP(I563,Customers!$A$2:$D$121,3,FALSE())</f>
        <v>Mumbai</v>
      </c>
      <c r="O563" s="0" t="str">
        <f aca="false">VLOOKUP(I563,Customers!$A$2:$D$121,4,FALSE())</f>
        <v>Retail</v>
      </c>
      <c r="P563" s="0" t="str">
        <f aca="false">TEXT(B563,"yyyy-mm")</f>
        <v>2026-03</v>
      </c>
    </row>
    <row r="564" customFormat="false" ht="15" hidden="false" customHeight="false" outlineLevel="0" collapsed="false">
      <c r="A564" s="0" t="s">
        <v>730</v>
      </c>
      <c r="B564" s="2" t="n">
        <v>46086</v>
      </c>
      <c r="C564" s="3" t="s">
        <v>23</v>
      </c>
      <c r="D564" s="3" t="s">
        <v>18</v>
      </c>
      <c r="E564" s="3" t="s">
        <v>29</v>
      </c>
      <c r="F564" s="0" t="n">
        <v>3</v>
      </c>
      <c r="G564" s="0" t="n">
        <v>349</v>
      </c>
      <c r="H564" s="0" t="n">
        <v>0</v>
      </c>
      <c r="I564" s="3" t="s">
        <v>96</v>
      </c>
      <c r="J564" s="0" t="n">
        <v>5</v>
      </c>
      <c r="K564" s="3" t="s">
        <v>21</v>
      </c>
      <c r="L564" s="0" t="str">
        <f aca="false">VLOOKUP(D564,Products!$A$2:$D$13,2,FALSE())</f>
        <v>Home</v>
      </c>
      <c r="M564" s="3" t="n">
        <f aca="false">F564*G564*(1-H564/100)</f>
        <v>1047</v>
      </c>
      <c r="N564" s="0" t="str">
        <f aca="false">VLOOKUP(I564,Customers!$A$2:$D$121,3,FALSE())</f>
        <v>Delhi</v>
      </c>
      <c r="O564" s="0" t="str">
        <f aca="false">VLOOKUP(I564,Customers!$A$2:$D$121,4,FALSE())</f>
        <v>Retail</v>
      </c>
      <c r="P564" s="0" t="str">
        <f aca="false">TEXT(B564,"yyyy-mm")</f>
        <v>2026-03</v>
      </c>
    </row>
    <row r="565" customFormat="false" ht="15" hidden="false" customHeight="false" outlineLevel="0" collapsed="false">
      <c r="A565" s="0" t="s">
        <v>731</v>
      </c>
      <c r="B565" s="2" t="n">
        <v>46017</v>
      </c>
      <c r="C565" s="3" t="s">
        <v>72</v>
      </c>
      <c r="D565" s="3" t="s">
        <v>48</v>
      </c>
      <c r="E565" s="3" t="s">
        <v>89</v>
      </c>
      <c r="F565" s="0" t="n">
        <v>1</v>
      </c>
      <c r="G565" s="0" t="n">
        <v>199</v>
      </c>
      <c r="H565" s="0" t="n">
        <v>0</v>
      </c>
      <c r="I565" s="3" t="s">
        <v>178</v>
      </c>
      <c r="J565" s="0" t="n">
        <v>4</v>
      </c>
      <c r="K565" s="3" t="s">
        <v>43</v>
      </c>
      <c r="L565" s="0" t="str">
        <f aca="false">VLOOKUP(D565,Products!$A$2:$D$13,2,FALSE())</f>
        <v>Home</v>
      </c>
      <c r="M565" s="3" t="n">
        <f aca="false">F565*G565*(1-H565/100)</f>
        <v>199</v>
      </c>
      <c r="N565" s="0" t="str">
        <f aca="false">VLOOKUP(I565,Customers!$A$2:$D$121,3,FALSE())</f>
        <v>Nagpur</v>
      </c>
      <c r="O565" s="0" t="str">
        <f aca="false">VLOOKUP(I565,Customers!$A$2:$D$121,4,FALSE())</f>
        <v>Student</v>
      </c>
      <c r="P565" s="0" t="str">
        <f aca="false">TEXT(B565,"yyyy-mm")</f>
        <v>2025-12</v>
      </c>
    </row>
    <row r="566" customFormat="false" ht="15" hidden="false" customHeight="false" outlineLevel="0" collapsed="false">
      <c r="A566" s="0" t="s">
        <v>732</v>
      </c>
      <c r="B566" s="2" t="n">
        <v>45954</v>
      </c>
      <c r="C566" s="3" t="s">
        <v>23</v>
      </c>
      <c r="D566" s="3" t="s">
        <v>57</v>
      </c>
      <c r="E566" s="3" t="s">
        <v>24</v>
      </c>
      <c r="F566" s="0" t="n">
        <v>2</v>
      </c>
      <c r="G566" s="0" t="n">
        <v>549</v>
      </c>
      <c r="H566" s="0" t="n">
        <v>0</v>
      </c>
      <c r="I566" s="3" t="s">
        <v>141</v>
      </c>
      <c r="J566" s="0" t="n">
        <v>3</v>
      </c>
      <c r="K566" s="3" t="s">
        <v>34</v>
      </c>
      <c r="L566" s="0" t="str">
        <f aca="false">VLOOKUP(D566,Products!$A$2:$D$13,2,FALSE())</f>
        <v>Accessories</v>
      </c>
      <c r="M566" s="3" t="n">
        <f aca="false">F566*G566*(1-H566/100)</f>
        <v>1098</v>
      </c>
      <c r="N566" s="0" t="str">
        <f aca="false">VLOOKUP(I566,Customers!$A$2:$D$121,3,FALSE())</f>
        <v>Bhopal</v>
      </c>
      <c r="O566" s="0" t="str">
        <f aca="false">VLOOKUP(I566,Customers!$A$2:$D$121,4,FALSE())</f>
        <v>Student</v>
      </c>
      <c r="P566" s="0" t="str">
        <f aca="false">TEXT(B566,"yyyy-mm")</f>
        <v>2025-10</v>
      </c>
    </row>
    <row r="567" customFormat="false" ht="15" hidden="false" customHeight="false" outlineLevel="0" collapsed="false">
      <c r="A567" s="0" t="s">
        <v>733</v>
      </c>
      <c r="B567" s="2" t="n">
        <v>45898</v>
      </c>
      <c r="C567" s="3" t="s">
        <v>72</v>
      </c>
      <c r="D567" s="3" t="s">
        <v>41</v>
      </c>
      <c r="E567" s="3" t="s">
        <v>73</v>
      </c>
      <c r="F567" s="0" t="n">
        <v>4</v>
      </c>
      <c r="G567" s="0" t="n">
        <v>399</v>
      </c>
      <c r="H567" s="0" t="n">
        <v>0</v>
      </c>
      <c r="I567" s="3" t="s">
        <v>182</v>
      </c>
      <c r="J567" s="0" t="n">
        <v>4</v>
      </c>
      <c r="K567" s="3" t="s">
        <v>21</v>
      </c>
      <c r="L567" s="0" t="str">
        <f aca="false">VLOOKUP(D567,Products!$A$2:$D$13,2,FALSE())</f>
        <v>Electronics</v>
      </c>
      <c r="M567" s="3" t="n">
        <f aca="false">F567*G567*(1-H567/100)</f>
        <v>1596</v>
      </c>
      <c r="N567" s="0" t="str">
        <f aca="false">VLOOKUP(I567,Customers!$A$2:$D$121,3,FALSE())</f>
        <v>Pune</v>
      </c>
      <c r="O567" s="0" t="str">
        <f aca="false">VLOOKUP(I567,Customers!$A$2:$D$121,4,FALSE())</f>
        <v>Corporate</v>
      </c>
      <c r="P567" s="0" t="str">
        <f aca="false">TEXT(B567,"yyyy-mm")</f>
        <v>2025-08</v>
      </c>
    </row>
    <row r="568" customFormat="false" ht="15" hidden="false" customHeight="false" outlineLevel="0" collapsed="false">
      <c r="A568" s="0" t="s">
        <v>734</v>
      </c>
      <c r="B568" s="2" t="n">
        <v>45976</v>
      </c>
      <c r="C568" s="3" t="s">
        <v>72</v>
      </c>
      <c r="D568" s="3" t="s">
        <v>45</v>
      </c>
      <c r="E568" s="3" t="s">
        <v>89</v>
      </c>
      <c r="F568" s="0" t="n">
        <v>5</v>
      </c>
      <c r="G568" s="0" t="n">
        <v>30</v>
      </c>
      <c r="H568" s="0" t="n">
        <v>0</v>
      </c>
      <c r="I568" s="3" t="s">
        <v>94</v>
      </c>
      <c r="J568" s="0" t="n">
        <v>4</v>
      </c>
      <c r="K568" s="3" t="s">
        <v>21</v>
      </c>
      <c r="L568" s="0" t="str">
        <f aca="false">VLOOKUP(D568,Products!$A$2:$D$13,2,FALSE())</f>
        <v>Stationery</v>
      </c>
      <c r="M568" s="3" t="n">
        <f aca="false">F568*G568*(1-H568/100)</f>
        <v>150</v>
      </c>
      <c r="N568" s="0" t="str">
        <f aca="false">VLOOKUP(I568,Customers!$A$2:$D$121,3,FALSE())</f>
        <v>Chennai</v>
      </c>
      <c r="O568" s="0" t="str">
        <f aca="false">VLOOKUP(I568,Customers!$A$2:$D$121,4,FALSE())</f>
        <v>Corporate</v>
      </c>
      <c r="P568" s="0" t="str">
        <f aca="false">TEXT(B568,"yyyy-mm")</f>
        <v>2025-11</v>
      </c>
    </row>
    <row r="569" customFormat="false" ht="15" hidden="false" customHeight="false" outlineLevel="0" collapsed="false">
      <c r="A569" s="0" t="s">
        <v>735</v>
      </c>
      <c r="B569" s="2" t="n">
        <v>45943</v>
      </c>
      <c r="C569" s="3" t="s">
        <v>72</v>
      </c>
      <c r="D569" s="3" t="s">
        <v>18</v>
      </c>
      <c r="E569" s="3" t="s">
        <v>73</v>
      </c>
      <c r="F569" s="0" t="n">
        <v>1</v>
      </c>
      <c r="G569" s="0" t="n">
        <v>349</v>
      </c>
      <c r="H569" s="0" t="n">
        <v>0</v>
      </c>
      <c r="I569" s="3" t="s">
        <v>536</v>
      </c>
      <c r="J569" s="0" t="n">
        <v>3</v>
      </c>
      <c r="K569" s="3" t="s">
        <v>21</v>
      </c>
      <c r="L569" s="0" t="str">
        <f aca="false">VLOOKUP(D569,Products!$A$2:$D$13,2,FALSE())</f>
        <v>Home</v>
      </c>
      <c r="M569" s="3" t="n">
        <f aca="false">F569*G569*(1-H569/100)</f>
        <v>349</v>
      </c>
      <c r="N569" s="0" t="str">
        <f aca="false">VLOOKUP(I569,Customers!$A$2:$D$121,3,FALSE())</f>
        <v>Chennai</v>
      </c>
      <c r="O569" s="0" t="str">
        <f aca="false">VLOOKUP(I569,Customers!$A$2:$D$121,4,FALSE())</f>
        <v>Student</v>
      </c>
      <c r="P569" s="0" t="str">
        <f aca="false">TEXT(B569,"yyyy-mm")</f>
        <v>2025-10</v>
      </c>
    </row>
    <row r="570" customFormat="false" ht="15" hidden="false" customHeight="false" outlineLevel="0" collapsed="false">
      <c r="A570" s="0" t="s">
        <v>736</v>
      </c>
      <c r="B570" s="2" t="n">
        <v>46011</v>
      </c>
      <c r="C570" s="3" t="s">
        <v>72</v>
      </c>
      <c r="D570" s="3" t="s">
        <v>57</v>
      </c>
      <c r="E570" s="3" t="s">
        <v>73</v>
      </c>
      <c r="F570" s="0" t="n">
        <v>5</v>
      </c>
      <c r="G570" s="0" t="n">
        <v>549</v>
      </c>
      <c r="H570" s="0" t="n">
        <v>10</v>
      </c>
      <c r="I570" s="3" t="s">
        <v>90</v>
      </c>
      <c r="J570" s="0" t="n">
        <v>4</v>
      </c>
      <c r="K570" s="3" t="s">
        <v>26</v>
      </c>
      <c r="L570" s="0" t="str">
        <f aca="false">VLOOKUP(D570,Products!$A$2:$D$13,2,FALSE())</f>
        <v>Accessories</v>
      </c>
      <c r="M570" s="3" t="n">
        <f aca="false">F570*G570*(1-H570/100)</f>
        <v>2470.5</v>
      </c>
      <c r="N570" s="0" t="str">
        <f aca="false">VLOOKUP(I570,Customers!$A$2:$D$121,3,FALSE())</f>
        <v>Jaipur</v>
      </c>
      <c r="O570" s="0" t="str">
        <f aca="false">VLOOKUP(I570,Customers!$A$2:$D$121,4,FALSE())</f>
        <v>Corporate</v>
      </c>
      <c r="P570" s="0" t="str">
        <f aca="false">TEXT(B570,"yyyy-mm")</f>
        <v>2025-12</v>
      </c>
    </row>
    <row r="571" customFormat="false" ht="15" hidden="false" customHeight="false" outlineLevel="0" collapsed="false">
      <c r="A571" s="0" t="s">
        <v>737</v>
      </c>
      <c r="B571" s="2" t="n">
        <v>45790</v>
      </c>
      <c r="C571" s="3" t="s">
        <v>23</v>
      </c>
      <c r="D571" s="3" t="s">
        <v>41</v>
      </c>
      <c r="E571" s="3" t="s">
        <v>24</v>
      </c>
      <c r="F571" s="0" t="n">
        <v>2</v>
      </c>
      <c r="G571" s="0" t="n">
        <v>399</v>
      </c>
      <c r="H571" s="0" t="n">
        <v>0</v>
      </c>
      <c r="I571" s="3" t="s">
        <v>695</v>
      </c>
      <c r="J571" s="0" t="n">
        <v>5</v>
      </c>
      <c r="K571" s="3" t="s">
        <v>21</v>
      </c>
      <c r="L571" s="0" t="str">
        <f aca="false">VLOOKUP(D571,Products!$A$2:$D$13,2,FALSE())</f>
        <v>Electronics</v>
      </c>
      <c r="M571" s="3" t="n">
        <f aca="false">F571*G571*(1-H571/100)</f>
        <v>798</v>
      </c>
      <c r="N571" s="0" t="str">
        <f aca="false">VLOOKUP(I571,Customers!$A$2:$D$121,3,FALSE())</f>
        <v>Pune</v>
      </c>
      <c r="O571" s="0" t="str">
        <f aca="false">VLOOKUP(I571,Customers!$A$2:$D$121,4,FALSE())</f>
        <v>Corporate</v>
      </c>
      <c r="P571" s="0" t="str">
        <f aca="false">TEXT(B571,"yyyy-mm")</f>
        <v>2025-05</v>
      </c>
    </row>
    <row r="572" customFormat="false" ht="15" hidden="false" customHeight="false" outlineLevel="0" collapsed="false">
      <c r="A572" s="0" t="s">
        <v>738</v>
      </c>
      <c r="B572" s="2" t="n">
        <v>46098</v>
      </c>
      <c r="C572" s="3" t="s">
        <v>36</v>
      </c>
      <c r="D572" s="3" t="s">
        <v>28</v>
      </c>
      <c r="E572" s="3" t="s">
        <v>69</v>
      </c>
      <c r="F572" s="0" t="n">
        <v>1</v>
      </c>
      <c r="G572" s="0" t="n">
        <v>450</v>
      </c>
      <c r="H572" s="0" t="n">
        <v>5</v>
      </c>
      <c r="I572" s="3" t="s">
        <v>125</v>
      </c>
      <c r="J572" s="0" t="n">
        <v>2</v>
      </c>
      <c r="K572" s="3" t="s">
        <v>21</v>
      </c>
      <c r="L572" s="0" t="str">
        <f aca="false">VLOOKUP(D572,Products!$A$2:$D$13,2,FALSE())</f>
        <v>Electronics</v>
      </c>
      <c r="M572" s="3" t="n">
        <f aca="false">F572*G572*(1-H572/100)</f>
        <v>427.5</v>
      </c>
      <c r="N572" s="0" t="str">
        <f aca="false">VLOOKUP(I572,Customers!$A$2:$D$121,3,FALSE())</f>
        <v>Lucknow</v>
      </c>
      <c r="O572" s="0" t="str">
        <f aca="false">VLOOKUP(I572,Customers!$A$2:$D$121,4,FALSE())</f>
        <v>Student</v>
      </c>
      <c r="P572" s="0" t="str">
        <f aca="false">TEXT(B572,"yyyy-mm")</f>
        <v>2026-03</v>
      </c>
    </row>
    <row r="573" customFormat="false" ht="15" hidden="false" customHeight="false" outlineLevel="0" collapsed="false">
      <c r="A573" s="0" t="s">
        <v>739</v>
      </c>
      <c r="B573" s="2" t="n">
        <v>45760</v>
      </c>
      <c r="C573" s="3" t="s">
        <v>36</v>
      </c>
      <c r="D573" s="3" t="s">
        <v>48</v>
      </c>
      <c r="E573" s="3" t="s">
        <v>38</v>
      </c>
      <c r="F573" s="0" t="n">
        <v>2</v>
      </c>
      <c r="G573" s="0" t="n">
        <v>199</v>
      </c>
      <c r="H573" s="0" t="n">
        <v>5</v>
      </c>
      <c r="I573" s="3" t="s">
        <v>375</v>
      </c>
      <c r="J573" s="0" t="n">
        <v>4</v>
      </c>
      <c r="K573" s="3" t="s">
        <v>21</v>
      </c>
      <c r="L573" s="0" t="str">
        <f aca="false">VLOOKUP(D573,Products!$A$2:$D$13,2,FALSE())</f>
        <v>Home</v>
      </c>
      <c r="M573" s="3" t="n">
        <f aca="false">F573*G573*(1-H573/100)</f>
        <v>378.1</v>
      </c>
      <c r="N573" s="0" t="str">
        <f aca="false">VLOOKUP(I573,Customers!$A$2:$D$121,3,FALSE())</f>
        <v>Mumbai</v>
      </c>
      <c r="O573" s="0" t="str">
        <f aca="false">VLOOKUP(I573,Customers!$A$2:$D$121,4,FALSE())</f>
        <v>Student</v>
      </c>
      <c r="P573" s="0" t="str">
        <f aca="false">TEXT(B573,"yyyy-mm")</f>
        <v>2025-04</v>
      </c>
    </row>
    <row r="574" customFormat="false" ht="15" hidden="false" customHeight="false" outlineLevel="0" collapsed="false">
      <c r="A574" s="0" t="s">
        <v>740</v>
      </c>
      <c r="B574" s="2" t="n">
        <v>45876</v>
      </c>
      <c r="C574" s="3" t="s">
        <v>36</v>
      </c>
      <c r="D574" s="3" t="s">
        <v>60</v>
      </c>
      <c r="E574" s="3" t="s">
        <v>38</v>
      </c>
      <c r="F574" s="0" t="n">
        <v>7</v>
      </c>
      <c r="G574" s="0" t="n">
        <v>40</v>
      </c>
      <c r="H574" s="0" t="n">
        <v>10</v>
      </c>
      <c r="I574" s="3" t="s">
        <v>225</v>
      </c>
      <c r="J574" s="0" t="n">
        <v>4</v>
      </c>
      <c r="K574" s="3" t="s">
        <v>34</v>
      </c>
      <c r="L574" s="0" t="str">
        <f aca="false">VLOOKUP(D574,Products!$A$2:$D$13,2,FALSE())</f>
        <v>Stationery</v>
      </c>
      <c r="M574" s="3" t="n">
        <f aca="false">F574*G574*(1-H574/100)</f>
        <v>252</v>
      </c>
      <c r="N574" s="0" t="str">
        <f aca="false">VLOOKUP(I574,Customers!$A$2:$D$121,3,FALSE())</f>
        <v>Bhopal</v>
      </c>
      <c r="O574" s="0" t="str">
        <f aca="false">VLOOKUP(I574,Customers!$A$2:$D$121,4,FALSE())</f>
        <v>Retail</v>
      </c>
      <c r="P574" s="0" t="str">
        <f aca="false">TEXT(B574,"yyyy-mm")</f>
        <v>2025-08</v>
      </c>
    </row>
    <row r="575" customFormat="false" ht="15" hidden="false" customHeight="false" outlineLevel="0" collapsed="false">
      <c r="A575" s="0" t="s">
        <v>741</v>
      </c>
      <c r="B575" s="2" t="n">
        <v>45978</v>
      </c>
      <c r="C575" s="3" t="s">
        <v>51</v>
      </c>
      <c r="D575" s="3" t="s">
        <v>88</v>
      </c>
      <c r="E575" s="3" t="s">
        <v>52</v>
      </c>
      <c r="F575" s="0" t="n">
        <v>2</v>
      </c>
      <c r="G575" s="0" t="n">
        <v>799</v>
      </c>
      <c r="H575" s="0" t="n">
        <v>15</v>
      </c>
      <c r="I575" s="3" t="s">
        <v>61</v>
      </c>
      <c r="J575" s="0" t="n">
        <v>4</v>
      </c>
      <c r="K575" s="3" t="s">
        <v>43</v>
      </c>
      <c r="L575" s="0" t="str">
        <f aca="false">VLOOKUP(D575,Products!$A$2:$D$13,2,FALSE())</f>
        <v>Accessories</v>
      </c>
      <c r="M575" s="3" t="n">
        <f aca="false">F575*G575*(1-H575/100)</f>
        <v>1358.3</v>
      </c>
      <c r="N575" s="0" t="str">
        <f aca="false">VLOOKUP(I575,Customers!$A$2:$D$121,3,FALSE())</f>
        <v>Delhi</v>
      </c>
      <c r="O575" s="0" t="str">
        <f aca="false">VLOOKUP(I575,Customers!$A$2:$D$121,4,FALSE())</f>
        <v>Retail</v>
      </c>
      <c r="P575" s="0" t="str">
        <f aca="false">TEXT(B575,"yyyy-mm")</f>
        <v>2025-11</v>
      </c>
    </row>
    <row r="576" customFormat="false" ht="15" hidden="false" customHeight="false" outlineLevel="0" collapsed="false">
      <c r="A576" s="0" t="s">
        <v>742</v>
      </c>
      <c r="B576" s="2" t="n">
        <v>46021</v>
      </c>
      <c r="C576" s="3" t="s">
        <v>17</v>
      </c>
      <c r="D576" s="3" t="s">
        <v>18</v>
      </c>
      <c r="E576" s="3" t="s">
        <v>19</v>
      </c>
      <c r="F576" s="0" t="n">
        <v>1</v>
      </c>
      <c r="G576" s="0" t="n">
        <v>349</v>
      </c>
      <c r="H576" s="0" t="n">
        <v>0</v>
      </c>
      <c r="I576" s="3" t="s">
        <v>227</v>
      </c>
      <c r="J576" s="0" t="n">
        <v>4</v>
      </c>
      <c r="K576" s="3" t="s">
        <v>21</v>
      </c>
      <c r="L576" s="0" t="str">
        <f aca="false">VLOOKUP(D576,Products!$A$2:$D$13,2,FALSE())</f>
        <v>Home</v>
      </c>
      <c r="M576" s="3" t="n">
        <f aca="false">F576*G576*(1-H576/100)</f>
        <v>349</v>
      </c>
      <c r="N576" s="0" t="str">
        <f aca="false">VLOOKUP(I576,Customers!$A$2:$D$121,3,FALSE())</f>
        <v>Kolkata</v>
      </c>
      <c r="O576" s="0" t="str">
        <f aca="false">VLOOKUP(I576,Customers!$A$2:$D$121,4,FALSE())</f>
        <v>Corporate</v>
      </c>
      <c r="P576" s="0" t="str">
        <f aca="false">TEXT(B576,"yyyy-mm")</f>
        <v>2025-12</v>
      </c>
    </row>
    <row r="577" customFormat="false" ht="15" hidden="false" customHeight="false" outlineLevel="0" collapsed="false">
      <c r="A577" s="0" t="s">
        <v>743</v>
      </c>
      <c r="B577" s="2" t="n">
        <v>45931</v>
      </c>
      <c r="C577" s="3" t="s">
        <v>17</v>
      </c>
      <c r="D577" s="3" t="s">
        <v>48</v>
      </c>
      <c r="E577" s="3" t="s">
        <v>93</v>
      </c>
      <c r="F577" s="0" t="n">
        <v>2</v>
      </c>
      <c r="G577" s="0" t="n">
        <v>199</v>
      </c>
      <c r="H577" s="0" t="n">
        <v>10</v>
      </c>
      <c r="I577" s="3" t="s">
        <v>39</v>
      </c>
      <c r="J577" s="0" t="n">
        <v>3</v>
      </c>
      <c r="K577" s="3" t="s">
        <v>21</v>
      </c>
      <c r="L577" s="0" t="str">
        <f aca="false">VLOOKUP(D577,Products!$A$2:$D$13,2,FALSE())</f>
        <v>Home</v>
      </c>
      <c r="M577" s="3" t="n">
        <f aca="false">F577*G577*(1-H577/100)</f>
        <v>358.2</v>
      </c>
      <c r="N577" s="0" t="str">
        <f aca="false">VLOOKUP(I577,Customers!$A$2:$D$121,3,FALSE())</f>
        <v>Chennai</v>
      </c>
      <c r="O577" s="0" t="str">
        <f aca="false">VLOOKUP(I577,Customers!$A$2:$D$121,4,FALSE())</f>
        <v>Retail</v>
      </c>
      <c r="P577" s="0" t="str">
        <f aca="false">TEXT(B577,"yyyy-mm")</f>
        <v>2025-10</v>
      </c>
    </row>
    <row r="578" customFormat="false" ht="15" hidden="false" customHeight="false" outlineLevel="0" collapsed="false">
      <c r="A578" s="0" t="s">
        <v>744</v>
      </c>
      <c r="B578" s="2" t="n">
        <v>45943</v>
      </c>
      <c r="C578" s="3" t="s">
        <v>51</v>
      </c>
      <c r="D578" s="3" t="s">
        <v>37</v>
      </c>
      <c r="E578" s="3" t="s">
        <v>83</v>
      </c>
      <c r="F578" s="0" t="n">
        <v>1</v>
      </c>
      <c r="G578" s="0" t="n">
        <v>500</v>
      </c>
      <c r="H578" s="0" t="n">
        <v>5</v>
      </c>
      <c r="I578" s="3" t="s">
        <v>426</v>
      </c>
      <c r="J578" s="0" t="n">
        <v>4</v>
      </c>
      <c r="K578" s="3" t="s">
        <v>26</v>
      </c>
      <c r="L578" s="0" t="str">
        <f aca="false">VLOOKUP(D578,Products!$A$2:$D$13,2,FALSE())</f>
        <v>Electronics</v>
      </c>
      <c r="M578" s="3" t="n">
        <f aca="false">F578*G578*(1-H578/100)</f>
        <v>475</v>
      </c>
      <c r="N578" s="0" t="str">
        <f aca="false">VLOOKUP(I578,Customers!$A$2:$D$121,3,FALSE())</f>
        <v>Bhopal</v>
      </c>
      <c r="O578" s="0" t="str">
        <f aca="false">VLOOKUP(I578,Customers!$A$2:$D$121,4,FALSE())</f>
        <v>Corporate</v>
      </c>
      <c r="P578" s="0" t="str">
        <f aca="false">TEXT(B578,"yyyy-mm")</f>
        <v>2025-10</v>
      </c>
    </row>
    <row r="579" customFormat="false" ht="15" hidden="false" customHeight="false" outlineLevel="0" collapsed="false">
      <c r="A579" s="0" t="s">
        <v>745</v>
      </c>
      <c r="B579" s="2" t="n">
        <v>45817</v>
      </c>
      <c r="C579" s="3" t="s">
        <v>36</v>
      </c>
      <c r="D579" s="3" t="s">
        <v>57</v>
      </c>
      <c r="E579" s="3" t="s">
        <v>69</v>
      </c>
      <c r="F579" s="0" t="n">
        <v>1</v>
      </c>
      <c r="G579" s="0" t="n">
        <v>549</v>
      </c>
      <c r="H579" s="0" t="n">
        <v>15</v>
      </c>
      <c r="I579" s="3" t="s">
        <v>120</v>
      </c>
      <c r="J579" s="0" t="n">
        <v>5</v>
      </c>
      <c r="K579" s="3" t="s">
        <v>26</v>
      </c>
      <c r="L579" s="0" t="str">
        <f aca="false">VLOOKUP(D579,Products!$A$2:$D$13,2,FALSE())</f>
        <v>Accessories</v>
      </c>
      <c r="M579" s="3" t="n">
        <f aca="false">F579*G579*(1-H579/100)</f>
        <v>466.65</v>
      </c>
      <c r="N579" s="0" t="str">
        <f aca="false">VLOOKUP(I579,Customers!$A$2:$D$121,3,FALSE())</f>
        <v>Bhopal</v>
      </c>
      <c r="O579" s="0" t="str">
        <f aca="false">VLOOKUP(I579,Customers!$A$2:$D$121,4,FALSE())</f>
        <v>Retail</v>
      </c>
      <c r="P579" s="0" t="str">
        <f aca="false">TEXT(B579,"yyyy-mm")</f>
        <v>2025-06</v>
      </c>
    </row>
    <row r="580" customFormat="false" ht="15" hidden="false" customHeight="false" outlineLevel="0" collapsed="false">
      <c r="A580" s="0" t="s">
        <v>746</v>
      </c>
      <c r="B580" s="2" t="n">
        <v>45753</v>
      </c>
      <c r="C580" s="3" t="s">
        <v>72</v>
      </c>
      <c r="D580" s="3" t="s">
        <v>37</v>
      </c>
      <c r="E580" s="3" t="s">
        <v>89</v>
      </c>
      <c r="F580" s="0" t="n">
        <v>1</v>
      </c>
      <c r="G580" s="0" t="n">
        <v>500</v>
      </c>
      <c r="H580" s="0" t="n">
        <v>10</v>
      </c>
      <c r="I580" s="3" t="s">
        <v>264</v>
      </c>
      <c r="J580" s="0" t="n">
        <v>4</v>
      </c>
      <c r="K580" s="3" t="s">
        <v>21</v>
      </c>
      <c r="L580" s="0" t="str">
        <f aca="false">VLOOKUP(D580,Products!$A$2:$D$13,2,FALSE())</f>
        <v>Electronics</v>
      </c>
      <c r="M580" s="3" t="n">
        <f aca="false">F580*G580*(1-H580/100)</f>
        <v>450</v>
      </c>
      <c r="N580" s="0" t="str">
        <f aca="false">VLOOKUP(I580,Customers!$A$2:$D$121,3,FALSE())</f>
        <v>Kolkata</v>
      </c>
      <c r="O580" s="0" t="str">
        <f aca="false">VLOOKUP(I580,Customers!$A$2:$D$121,4,FALSE())</f>
        <v>Student</v>
      </c>
      <c r="P580" s="0" t="str">
        <f aca="false">TEXT(B580,"yyyy-mm")</f>
        <v>2025-04</v>
      </c>
    </row>
    <row r="581" customFormat="false" ht="15" hidden="false" customHeight="false" outlineLevel="0" collapsed="false">
      <c r="A581" s="0" t="s">
        <v>747</v>
      </c>
      <c r="B581" s="2" t="n">
        <v>46053</v>
      </c>
      <c r="C581" s="3" t="s">
        <v>23</v>
      </c>
      <c r="D581" s="3" t="s">
        <v>60</v>
      </c>
      <c r="E581" s="3" t="s">
        <v>24</v>
      </c>
      <c r="F581" s="0" t="n">
        <v>1</v>
      </c>
      <c r="G581" s="0" t="n">
        <v>40</v>
      </c>
      <c r="H581" s="0" t="n">
        <v>5</v>
      </c>
      <c r="I581" s="3" t="s">
        <v>286</v>
      </c>
      <c r="J581" s="0" t="n">
        <v>4</v>
      </c>
      <c r="K581" s="3" t="s">
        <v>34</v>
      </c>
      <c r="L581" s="0" t="str">
        <f aca="false">VLOOKUP(D581,Products!$A$2:$D$13,2,FALSE())</f>
        <v>Stationery</v>
      </c>
      <c r="M581" s="3" t="n">
        <f aca="false">F581*G581*(1-H581/100)</f>
        <v>38</v>
      </c>
      <c r="N581" s="0" t="str">
        <f aca="false">VLOOKUP(I581,Customers!$A$2:$D$121,3,FALSE())</f>
        <v>Pune</v>
      </c>
      <c r="O581" s="0" t="str">
        <f aca="false">VLOOKUP(I581,Customers!$A$2:$D$121,4,FALSE())</f>
        <v>Corporate</v>
      </c>
      <c r="P581" s="0" t="str">
        <f aca="false">TEXT(B581,"yyyy-mm")</f>
        <v>2026-01</v>
      </c>
    </row>
    <row r="582" customFormat="false" ht="15" hidden="false" customHeight="false" outlineLevel="0" collapsed="false">
      <c r="A582" s="0" t="s">
        <v>748</v>
      </c>
      <c r="B582" s="2" t="n">
        <v>45856</v>
      </c>
      <c r="C582" s="3" t="s">
        <v>72</v>
      </c>
      <c r="D582" s="3" t="s">
        <v>28</v>
      </c>
      <c r="E582" s="3" t="s">
        <v>89</v>
      </c>
      <c r="F582" s="0" t="n">
        <v>1</v>
      </c>
      <c r="G582" s="0" t="n">
        <v>450</v>
      </c>
      <c r="H582" s="0" t="n">
        <v>5</v>
      </c>
      <c r="I582" s="3" t="s">
        <v>94</v>
      </c>
      <c r="J582" s="0" t="n">
        <v>4</v>
      </c>
      <c r="K582" s="3" t="s">
        <v>26</v>
      </c>
      <c r="L582" s="0" t="str">
        <f aca="false">VLOOKUP(D582,Products!$A$2:$D$13,2,FALSE())</f>
        <v>Electronics</v>
      </c>
      <c r="M582" s="3" t="n">
        <f aca="false">F582*G582*(1-H582/100)</f>
        <v>427.5</v>
      </c>
      <c r="N582" s="0" t="str">
        <f aca="false">VLOOKUP(I582,Customers!$A$2:$D$121,3,FALSE())</f>
        <v>Chennai</v>
      </c>
      <c r="O582" s="0" t="str">
        <f aca="false">VLOOKUP(I582,Customers!$A$2:$D$121,4,FALSE())</f>
        <v>Corporate</v>
      </c>
      <c r="P582" s="0" t="str">
        <f aca="false">TEXT(B582,"yyyy-mm")</f>
        <v>2025-07</v>
      </c>
    </row>
    <row r="583" customFormat="false" ht="15" hidden="false" customHeight="false" outlineLevel="0" collapsed="false">
      <c r="A583" s="0" t="s">
        <v>749</v>
      </c>
      <c r="B583" s="2" t="n">
        <v>46063</v>
      </c>
      <c r="C583" s="3" t="s">
        <v>36</v>
      </c>
      <c r="D583" s="3" t="s">
        <v>108</v>
      </c>
      <c r="E583" s="3" t="s">
        <v>38</v>
      </c>
      <c r="F583" s="0" t="n">
        <v>1</v>
      </c>
      <c r="G583" s="0" t="n">
        <v>180</v>
      </c>
      <c r="H583" s="0" t="n">
        <v>0</v>
      </c>
      <c r="I583" s="3" t="s">
        <v>102</v>
      </c>
      <c r="J583" s="0" t="n">
        <v>2</v>
      </c>
      <c r="K583" s="3" t="s">
        <v>43</v>
      </c>
      <c r="L583" s="0" t="str">
        <f aca="false">VLOOKUP(D583,Products!$A$2:$D$13,2,FALSE())</f>
        <v>Stationery</v>
      </c>
      <c r="M583" s="3" t="n">
        <f aca="false">F583*G583*(1-H583/100)</f>
        <v>180</v>
      </c>
      <c r="N583" s="0" t="str">
        <f aca="false">VLOOKUP(I583,Customers!$A$2:$D$121,3,FALSE())</f>
        <v>Jaipur</v>
      </c>
      <c r="O583" s="0" t="str">
        <f aca="false">VLOOKUP(I583,Customers!$A$2:$D$121,4,FALSE())</f>
        <v>Corporate</v>
      </c>
      <c r="P583" s="0" t="str">
        <f aca="false">TEXT(B583,"yyyy-mm")</f>
        <v>2026-02</v>
      </c>
    </row>
    <row r="584" customFormat="false" ht="15" hidden="false" customHeight="false" outlineLevel="0" collapsed="false">
      <c r="A584" s="0" t="s">
        <v>750</v>
      </c>
      <c r="B584" s="2" t="n">
        <v>45785</v>
      </c>
      <c r="C584" s="3" t="s">
        <v>23</v>
      </c>
      <c r="D584" s="3" t="s">
        <v>18</v>
      </c>
      <c r="E584" s="3" t="s">
        <v>24</v>
      </c>
      <c r="F584" s="0" t="n">
        <v>2</v>
      </c>
      <c r="G584" s="0" t="n">
        <v>349</v>
      </c>
      <c r="H584" s="0" t="n">
        <v>0</v>
      </c>
      <c r="I584" s="3" t="s">
        <v>269</v>
      </c>
      <c r="J584" s="0" t="n">
        <v>2</v>
      </c>
      <c r="K584" s="3" t="s">
        <v>26</v>
      </c>
      <c r="L584" s="0" t="str">
        <f aca="false">VLOOKUP(D584,Products!$A$2:$D$13,2,FALSE())</f>
        <v>Home</v>
      </c>
      <c r="M584" s="3" t="n">
        <f aca="false">F584*G584*(1-H584/100)</f>
        <v>698</v>
      </c>
      <c r="N584" s="0" t="str">
        <f aca="false">VLOOKUP(I584,Customers!$A$2:$D$121,3,FALSE())</f>
        <v>Mumbai</v>
      </c>
      <c r="O584" s="0" t="str">
        <f aca="false">VLOOKUP(I584,Customers!$A$2:$D$121,4,FALSE())</f>
        <v>Student</v>
      </c>
      <c r="P584" s="0" t="str">
        <f aca="false">TEXT(B584,"yyyy-mm")</f>
        <v>2025-05</v>
      </c>
    </row>
    <row r="585" customFormat="false" ht="15" hidden="false" customHeight="false" outlineLevel="0" collapsed="false">
      <c r="A585" s="0" t="s">
        <v>751</v>
      </c>
      <c r="B585" s="2" t="n">
        <v>45997</v>
      </c>
      <c r="C585" s="3" t="s">
        <v>23</v>
      </c>
      <c r="D585" s="3" t="s">
        <v>48</v>
      </c>
      <c r="E585" s="3" t="s">
        <v>24</v>
      </c>
      <c r="F585" s="0" t="n">
        <v>1</v>
      </c>
      <c r="G585" s="0" t="n">
        <v>199</v>
      </c>
      <c r="H585" s="0" t="n">
        <v>0</v>
      </c>
      <c r="I585" s="3" t="s">
        <v>135</v>
      </c>
      <c r="J585" s="0" t="n">
        <v>2</v>
      </c>
      <c r="K585" s="3" t="s">
        <v>21</v>
      </c>
      <c r="L585" s="0" t="str">
        <f aca="false">VLOOKUP(D585,Products!$A$2:$D$13,2,FALSE())</f>
        <v>Home</v>
      </c>
      <c r="M585" s="3" t="n">
        <f aca="false">F585*G585*(1-H585/100)</f>
        <v>199</v>
      </c>
      <c r="N585" s="0" t="str">
        <f aca="false">VLOOKUP(I585,Customers!$A$2:$D$121,3,FALSE())</f>
        <v>Jaipur</v>
      </c>
      <c r="O585" s="0" t="str">
        <f aca="false">VLOOKUP(I585,Customers!$A$2:$D$121,4,FALSE())</f>
        <v>Corporate</v>
      </c>
      <c r="P585" s="0" t="str">
        <f aca="false">TEXT(B585,"yyyy-mm")</f>
        <v>2025-12</v>
      </c>
    </row>
    <row r="586" customFormat="false" ht="15" hidden="false" customHeight="false" outlineLevel="0" collapsed="false">
      <c r="A586" s="0" t="s">
        <v>752</v>
      </c>
      <c r="B586" s="2" t="n">
        <v>45783</v>
      </c>
      <c r="C586" s="3" t="s">
        <v>23</v>
      </c>
      <c r="D586" s="3" t="s">
        <v>37</v>
      </c>
      <c r="E586" s="3" t="s">
        <v>29</v>
      </c>
      <c r="F586" s="0" t="n">
        <v>1</v>
      </c>
      <c r="G586" s="0" t="n">
        <v>500</v>
      </c>
      <c r="H586" s="0" t="n">
        <v>0</v>
      </c>
      <c r="I586" s="3" t="s">
        <v>239</v>
      </c>
      <c r="J586" s="0" t="n">
        <v>4</v>
      </c>
      <c r="K586" s="3" t="s">
        <v>34</v>
      </c>
      <c r="L586" s="0" t="str">
        <f aca="false">VLOOKUP(D586,Products!$A$2:$D$13,2,FALSE())</f>
        <v>Electronics</v>
      </c>
      <c r="M586" s="3" t="n">
        <f aca="false">F586*G586*(1-H586/100)</f>
        <v>500</v>
      </c>
      <c r="N586" s="0" t="str">
        <f aca="false">VLOOKUP(I586,Customers!$A$2:$D$121,3,FALSE())</f>
        <v>Lucknow</v>
      </c>
      <c r="O586" s="0" t="str">
        <f aca="false">VLOOKUP(I586,Customers!$A$2:$D$121,4,FALSE())</f>
        <v>Retail</v>
      </c>
      <c r="P586" s="0" t="str">
        <f aca="false">TEXT(B586,"yyyy-mm")</f>
        <v>2025-05</v>
      </c>
    </row>
    <row r="587" customFormat="false" ht="15" hidden="false" customHeight="false" outlineLevel="0" collapsed="false">
      <c r="A587" s="0" t="s">
        <v>753</v>
      </c>
      <c r="B587" s="2" t="n">
        <v>45826</v>
      </c>
      <c r="C587" s="3" t="s">
        <v>23</v>
      </c>
      <c r="D587" s="3" t="s">
        <v>48</v>
      </c>
      <c r="E587" s="3" t="s">
        <v>29</v>
      </c>
      <c r="F587" s="0" t="n">
        <v>4</v>
      </c>
      <c r="G587" s="0" t="n">
        <v>199</v>
      </c>
      <c r="H587" s="0" t="n">
        <v>10</v>
      </c>
      <c r="I587" s="3" t="s">
        <v>276</v>
      </c>
      <c r="J587" s="0" t="n">
        <v>4</v>
      </c>
      <c r="K587" s="3" t="s">
        <v>43</v>
      </c>
      <c r="L587" s="0" t="str">
        <f aca="false">VLOOKUP(D587,Products!$A$2:$D$13,2,FALSE())</f>
        <v>Home</v>
      </c>
      <c r="M587" s="3" t="n">
        <f aca="false">F587*G587*(1-H587/100)</f>
        <v>716.4</v>
      </c>
      <c r="N587" s="0" t="str">
        <f aca="false">VLOOKUP(I587,Customers!$A$2:$D$121,3,FALSE())</f>
        <v>Jaipur</v>
      </c>
      <c r="O587" s="0" t="str">
        <f aca="false">VLOOKUP(I587,Customers!$A$2:$D$121,4,FALSE())</f>
        <v>Retail</v>
      </c>
      <c r="P587" s="0" t="str">
        <f aca="false">TEXT(B587,"yyyy-mm")</f>
        <v>2025-06</v>
      </c>
    </row>
    <row r="588" customFormat="false" ht="15" hidden="false" customHeight="false" outlineLevel="0" collapsed="false">
      <c r="A588" s="0" t="s">
        <v>754</v>
      </c>
      <c r="B588" s="2" t="n">
        <v>45908</v>
      </c>
      <c r="C588" s="3" t="s">
        <v>17</v>
      </c>
      <c r="D588" s="3" t="s">
        <v>108</v>
      </c>
      <c r="E588" s="3" t="s">
        <v>93</v>
      </c>
      <c r="F588" s="0" t="n">
        <v>2</v>
      </c>
      <c r="G588" s="0" t="n">
        <v>180</v>
      </c>
      <c r="H588" s="0" t="n">
        <v>0</v>
      </c>
      <c r="I588" s="3" t="s">
        <v>139</v>
      </c>
      <c r="J588" s="0" t="n">
        <v>3</v>
      </c>
      <c r="K588" s="3" t="s">
        <v>34</v>
      </c>
      <c r="L588" s="0" t="str">
        <f aca="false">VLOOKUP(D588,Products!$A$2:$D$13,2,FALSE())</f>
        <v>Stationery</v>
      </c>
      <c r="M588" s="3" t="n">
        <f aca="false">F588*G588*(1-H588/100)</f>
        <v>360</v>
      </c>
      <c r="N588" s="0" t="str">
        <f aca="false">VLOOKUP(I588,Customers!$A$2:$D$121,3,FALSE())</f>
        <v>Mumbai</v>
      </c>
      <c r="O588" s="0" t="str">
        <f aca="false">VLOOKUP(I588,Customers!$A$2:$D$121,4,FALSE())</f>
        <v>Student</v>
      </c>
      <c r="P588" s="0" t="str">
        <f aca="false">TEXT(B588,"yyyy-mm")</f>
        <v>2025-09</v>
      </c>
    </row>
    <row r="589" customFormat="false" ht="15" hidden="false" customHeight="false" outlineLevel="0" collapsed="false">
      <c r="A589" s="0" t="s">
        <v>755</v>
      </c>
      <c r="B589" s="2" t="n">
        <v>46095</v>
      </c>
      <c r="C589" s="3" t="s">
        <v>36</v>
      </c>
      <c r="D589" s="3" t="s">
        <v>41</v>
      </c>
      <c r="E589" s="3" t="s">
        <v>69</v>
      </c>
      <c r="F589" s="0" t="n">
        <v>2</v>
      </c>
      <c r="G589" s="0" t="n">
        <v>399</v>
      </c>
      <c r="H589" s="0" t="n">
        <v>15</v>
      </c>
      <c r="I589" s="3" t="s">
        <v>256</v>
      </c>
      <c r="J589" s="0" t="n">
        <v>5</v>
      </c>
      <c r="K589" s="3" t="s">
        <v>43</v>
      </c>
      <c r="L589" s="0" t="str">
        <f aca="false">VLOOKUP(D589,Products!$A$2:$D$13,2,FALSE())</f>
        <v>Electronics</v>
      </c>
      <c r="M589" s="3" t="n">
        <f aca="false">F589*G589*(1-H589/100)</f>
        <v>678.3</v>
      </c>
      <c r="N589" s="0" t="str">
        <f aca="false">VLOOKUP(I589,Customers!$A$2:$D$121,3,FALSE())</f>
        <v>Lucknow</v>
      </c>
      <c r="O589" s="0" t="str">
        <f aca="false">VLOOKUP(I589,Customers!$A$2:$D$121,4,FALSE())</f>
        <v>Corporate</v>
      </c>
      <c r="P589" s="0" t="str">
        <f aca="false">TEXT(B589,"yyyy-mm")</f>
        <v>2026-03</v>
      </c>
    </row>
    <row r="590" customFormat="false" ht="15" hidden="false" customHeight="false" outlineLevel="0" collapsed="false">
      <c r="A590" s="0" t="s">
        <v>756</v>
      </c>
      <c r="B590" s="2" t="n">
        <v>45997</v>
      </c>
      <c r="C590" s="3" t="s">
        <v>72</v>
      </c>
      <c r="D590" s="3" t="s">
        <v>41</v>
      </c>
      <c r="E590" s="3" t="s">
        <v>89</v>
      </c>
      <c r="F590" s="0" t="n">
        <v>1</v>
      </c>
      <c r="G590" s="0" t="n">
        <v>399</v>
      </c>
      <c r="H590" s="0" t="n">
        <v>10</v>
      </c>
      <c r="I590" s="3" t="s">
        <v>39</v>
      </c>
      <c r="J590" s="0" t="n">
        <v>3</v>
      </c>
      <c r="K590" s="3" t="s">
        <v>34</v>
      </c>
      <c r="L590" s="0" t="str">
        <f aca="false">VLOOKUP(D590,Products!$A$2:$D$13,2,FALSE())</f>
        <v>Electronics</v>
      </c>
      <c r="M590" s="3" t="n">
        <f aca="false">F590*G590*(1-H590/100)</f>
        <v>359.1</v>
      </c>
      <c r="N590" s="0" t="str">
        <f aca="false">VLOOKUP(I590,Customers!$A$2:$D$121,3,FALSE())</f>
        <v>Chennai</v>
      </c>
      <c r="O590" s="0" t="str">
        <f aca="false">VLOOKUP(I590,Customers!$A$2:$D$121,4,FALSE())</f>
        <v>Retail</v>
      </c>
      <c r="P590" s="0" t="str">
        <f aca="false">TEXT(B590,"yyyy-mm")</f>
        <v>2025-12</v>
      </c>
    </row>
    <row r="591" customFormat="false" ht="15" hidden="false" customHeight="false" outlineLevel="0" collapsed="false">
      <c r="A591" s="0" t="s">
        <v>757</v>
      </c>
      <c r="B591" s="2" t="n">
        <v>45848</v>
      </c>
      <c r="C591" s="3" t="s">
        <v>23</v>
      </c>
      <c r="D591" s="3" t="s">
        <v>108</v>
      </c>
      <c r="E591" s="3" t="s">
        <v>24</v>
      </c>
      <c r="F591" s="0" t="n">
        <v>1</v>
      </c>
      <c r="G591" s="0" t="n">
        <v>180</v>
      </c>
      <c r="H591" s="0" t="n">
        <v>0</v>
      </c>
      <c r="I591" s="3" t="s">
        <v>42</v>
      </c>
      <c r="J591" s="0" t="n">
        <v>5</v>
      </c>
      <c r="K591" s="3" t="s">
        <v>21</v>
      </c>
      <c r="L591" s="0" t="str">
        <f aca="false">VLOOKUP(D591,Products!$A$2:$D$13,2,FALSE())</f>
        <v>Stationery</v>
      </c>
      <c r="M591" s="3" t="n">
        <f aca="false">F591*G591*(1-H591/100)</f>
        <v>180</v>
      </c>
      <c r="N591" s="0" t="str">
        <f aca="false">VLOOKUP(I591,Customers!$A$2:$D$121,3,FALSE())</f>
        <v>Indore</v>
      </c>
      <c r="O591" s="0" t="str">
        <f aca="false">VLOOKUP(I591,Customers!$A$2:$D$121,4,FALSE())</f>
        <v>Retail</v>
      </c>
      <c r="P591" s="0" t="str">
        <f aca="false">TEXT(B591,"yyyy-mm")</f>
        <v>2025-07</v>
      </c>
    </row>
    <row r="592" customFormat="false" ht="15" hidden="false" customHeight="false" outlineLevel="0" collapsed="false">
      <c r="A592" s="0" t="s">
        <v>758</v>
      </c>
      <c r="B592" s="2" t="n">
        <v>46071</v>
      </c>
      <c r="C592" s="3" t="s">
        <v>23</v>
      </c>
      <c r="D592" s="3" t="s">
        <v>60</v>
      </c>
      <c r="E592" s="3" t="s">
        <v>29</v>
      </c>
      <c r="F592" s="0" t="n">
        <v>1</v>
      </c>
      <c r="G592" s="0" t="n">
        <v>40</v>
      </c>
      <c r="H592" s="0" t="n">
        <v>0</v>
      </c>
      <c r="I592" s="3" t="s">
        <v>373</v>
      </c>
      <c r="J592" s="0" t="n">
        <v>4</v>
      </c>
      <c r="K592" s="3" t="s">
        <v>26</v>
      </c>
      <c r="L592" s="0" t="str">
        <f aca="false">VLOOKUP(D592,Products!$A$2:$D$13,2,FALSE())</f>
        <v>Stationery</v>
      </c>
      <c r="M592" s="3" t="n">
        <f aca="false">F592*G592*(1-H592/100)</f>
        <v>40</v>
      </c>
      <c r="N592" s="0" t="str">
        <f aca="false">VLOOKUP(I592,Customers!$A$2:$D$121,3,FALSE())</f>
        <v>Bhopal</v>
      </c>
      <c r="O592" s="0" t="str">
        <f aca="false">VLOOKUP(I592,Customers!$A$2:$D$121,4,FALSE())</f>
        <v>Corporate</v>
      </c>
      <c r="P592" s="0" t="str">
        <f aca="false">TEXT(B592,"yyyy-mm")</f>
        <v>2026-02</v>
      </c>
    </row>
    <row r="593" customFormat="false" ht="15" hidden="false" customHeight="false" outlineLevel="0" collapsed="false">
      <c r="A593" s="0" t="s">
        <v>759</v>
      </c>
      <c r="B593" s="2" t="n">
        <v>45881</v>
      </c>
      <c r="C593" s="3" t="s">
        <v>23</v>
      </c>
      <c r="D593" s="3" t="s">
        <v>60</v>
      </c>
      <c r="E593" s="3" t="s">
        <v>29</v>
      </c>
      <c r="F593" s="0" t="n">
        <v>1</v>
      </c>
      <c r="G593" s="0" t="n">
        <v>40</v>
      </c>
      <c r="H593" s="0" t="n">
        <v>10</v>
      </c>
      <c r="I593" s="3" t="s">
        <v>400</v>
      </c>
      <c r="J593" s="0" t="n">
        <v>5</v>
      </c>
      <c r="K593" s="3" t="s">
        <v>26</v>
      </c>
      <c r="L593" s="0" t="str">
        <f aca="false">VLOOKUP(D593,Products!$A$2:$D$13,2,FALSE())</f>
        <v>Stationery</v>
      </c>
      <c r="M593" s="3" t="n">
        <f aca="false">F593*G593*(1-H593/100)</f>
        <v>36</v>
      </c>
      <c r="N593" s="0" t="str">
        <f aca="false">VLOOKUP(I593,Customers!$A$2:$D$121,3,FALSE())</f>
        <v>Lucknow</v>
      </c>
      <c r="O593" s="0" t="str">
        <f aca="false">VLOOKUP(I593,Customers!$A$2:$D$121,4,FALSE())</f>
        <v>Retail</v>
      </c>
      <c r="P593" s="0" t="str">
        <f aca="false">TEXT(B593,"yyyy-mm")</f>
        <v>2025-08</v>
      </c>
    </row>
    <row r="594" customFormat="false" ht="15" hidden="false" customHeight="false" outlineLevel="0" collapsed="false">
      <c r="A594" s="0" t="s">
        <v>760</v>
      </c>
      <c r="B594" s="2" t="n">
        <v>45862</v>
      </c>
      <c r="C594" s="3" t="s">
        <v>51</v>
      </c>
      <c r="D594" s="3" t="s">
        <v>41</v>
      </c>
      <c r="E594" s="3" t="s">
        <v>52</v>
      </c>
      <c r="F594" s="0" t="n">
        <v>1</v>
      </c>
      <c r="G594" s="0" t="n">
        <v>399</v>
      </c>
      <c r="H594" s="0" t="n">
        <v>10</v>
      </c>
      <c r="I594" s="3" t="s">
        <v>42</v>
      </c>
      <c r="J594" s="0" t="n">
        <v>5</v>
      </c>
      <c r="K594" s="3" t="s">
        <v>43</v>
      </c>
      <c r="L594" s="0" t="str">
        <f aca="false">VLOOKUP(D594,Products!$A$2:$D$13,2,FALSE())</f>
        <v>Electronics</v>
      </c>
      <c r="M594" s="3" t="n">
        <f aca="false">F594*G594*(1-H594/100)</f>
        <v>359.1</v>
      </c>
      <c r="N594" s="0" t="str">
        <f aca="false">VLOOKUP(I594,Customers!$A$2:$D$121,3,FALSE())</f>
        <v>Indore</v>
      </c>
      <c r="O594" s="0" t="str">
        <f aca="false">VLOOKUP(I594,Customers!$A$2:$D$121,4,FALSE())</f>
        <v>Retail</v>
      </c>
      <c r="P594" s="0" t="str">
        <f aca="false">TEXT(B594,"yyyy-mm")</f>
        <v>2025-07</v>
      </c>
    </row>
    <row r="595" customFormat="false" ht="15" hidden="false" customHeight="false" outlineLevel="0" collapsed="false">
      <c r="A595" s="0" t="s">
        <v>761</v>
      </c>
      <c r="B595" s="2" t="n">
        <v>45794</v>
      </c>
      <c r="C595" s="3" t="s">
        <v>23</v>
      </c>
      <c r="D595" s="3" t="s">
        <v>57</v>
      </c>
      <c r="E595" s="3" t="s">
        <v>24</v>
      </c>
      <c r="F595" s="0" t="n">
        <v>1</v>
      </c>
      <c r="G595" s="0" t="n">
        <v>549</v>
      </c>
      <c r="H595" s="0" t="n">
        <v>5</v>
      </c>
      <c r="I595" s="3" t="s">
        <v>193</v>
      </c>
      <c r="J595" s="0" t="n">
        <v>4</v>
      </c>
      <c r="K595" s="3" t="s">
        <v>26</v>
      </c>
      <c r="L595" s="0" t="str">
        <f aca="false">VLOOKUP(D595,Products!$A$2:$D$13,2,FALSE())</f>
        <v>Accessories</v>
      </c>
      <c r="M595" s="3" t="n">
        <f aca="false">F595*G595*(1-H595/100)</f>
        <v>521.55</v>
      </c>
      <c r="N595" s="0" t="str">
        <f aca="false">VLOOKUP(I595,Customers!$A$2:$D$121,3,FALSE())</f>
        <v>Delhi</v>
      </c>
      <c r="O595" s="0" t="str">
        <f aca="false">VLOOKUP(I595,Customers!$A$2:$D$121,4,FALSE())</f>
        <v>Retail</v>
      </c>
      <c r="P595" s="0" t="str">
        <f aca="false">TEXT(B595,"yyyy-mm")</f>
        <v>2025-05</v>
      </c>
    </row>
    <row r="596" customFormat="false" ht="15" hidden="false" customHeight="false" outlineLevel="0" collapsed="false">
      <c r="A596" s="0" t="s">
        <v>762</v>
      </c>
      <c r="B596" s="2" t="n">
        <v>45976</v>
      </c>
      <c r="C596" s="3" t="s">
        <v>36</v>
      </c>
      <c r="D596" s="3" t="s">
        <v>57</v>
      </c>
      <c r="E596" s="3" t="s">
        <v>38</v>
      </c>
      <c r="F596" s="0" t="n">
        <v>1</v>
      </c>
      <c r="G596" s="0" t="n">
        <v>549</v>
      </c>
      <c r="H596" s="0" t="n">
        <v>0</v>
      </c>
      <c r="I596" s="3" t="s">
        <v>221</v>
      </c>
      <c r="J596" s="0" t="n">
        <v>4</v>
      </c>
      <c r="K596" s="3" t="s">
        <v>43</v>
      </c>
      <c r="L596" s="0" t="str">
        <f aca="false">VLOOKUP(D596,Products!$A$2:$D$13,2,FALSE())</f>
        <v>Accessories</v>
      </c>
      <c r="M596" s="3" t="n">
        <f aca="false">F596*G596*(1-H596/100)</f>
        <v>549</v>
      </c>
      <c r="N596" s="0" t="str">
        <f aca="false">VLOOKUP(I596,Customers!$A$2:$D$121,3,FALSE())</f>
        <v>Mumbai</v>
      </c>
      <c r="O596" s="0" t="str">
        <f aca="false">VLOOKUP(I596,Customers!$A$2:$D$121,4,FALSE())</f>
        <v>Retail</v>
      </c>
      <c r="P596" s="0" t="str">
        <f aca="false">TEXT(B596,"yyyy-mm")</f>
        <v>2025-11</v>
      </c>
    </row>
    <row r="597" customFormat="false" ht="15" hidden="false" customHeight="false" outlineLevel="0" collapsed="false">
      <c r="A597" s="0" t="s">
        <v>763</v>
      </c>
      <c r="B597" s="2" t="n">
        <v>45860</v>
      </c>
      <c r="C597" s="3" t="s">
        <v>17</v>
      </c>
      <c r="D597" s="3" t="s">
        <v>41</v>
      </c>
      <c r="E597" s="3" t="s">
        <v>93</v>
      </c>
      <c r="F597" s="0" t="n">
        <v>1</v>
      </c>
      <c r="G597" s="0" t="n">
        <v>399</v>
      </c>
      <c r="H597" s="0" t="n">
        <v>5</v>
      </c>
      <c r="I597" s="3" t="s">
        <v>49</v>
      </c>
      <c r="J597" s="0" t="n">
        <v>2</v>
      </c>
      <c r="K597" s="3" t="s">
        <v>26</v>
      </c>
      <c r="L597" s="0" t="str">
        <f aca="false">VLOOKUP(D597,Products!$A$2:$D$13,2,FALSE())</f>
        <v>Electronics</v>
      </c>
      <c r="M597" s="3" t="n">
        <f aca="false">F597*G597*(1-H597/100)</f>
        <v>379.05</v>
      </c>
      <c r="N597" s="0" t="str">
        <f aca="false">VLOOKUP(I597,Customers!$A$2:$D$121,3,FALSE())</f>
        <v>Indore</v>
      </c>
      <c r="O597" s="0" t="str">
        <f aca="false">VLOOKUP(I597,Customers!$A$2:$D$121,4,FALSE())</f>
        <v>Student</v>
      </c>
      <c r="P597" s="0" t="str">
        <f aca="false">TEXT(B597,"yyyy-mm")</f>
        <v>2025-07</v>
      </c>
    </row>
    <row r="598" customFormat="false" ht="15" hidden="false" customHeight="false" outlineLevel="0" collapsed="false">
      <c r="A598" s="0" t="s">
        <v>764</v>
      </c>
      <c r="B598" s="2" t="n">
        <v>46013</v>
      </c>
      <c r="C598" s="3" t="s">
        <v>36</v>
      </c>
      <c r="D598" s="3" t="s">
        <v>60</v>
      </c>
      <c r="E598" s="3" t="s">
        <v>69</v>
      </c>
      <c r="F598" s="0" t="n">
        <v>2</v>
      </c>
      <c r="G598" s="0" t="n">
        <v>40</v>
      </c>
      <c r="H598" s="0" t="n">
        <v>0</v>
      </c>
      <c r="I598" s="3" t="s">
        <v>536</v>
      </c>
      <c r="J598" s="0" t="n">
        <v>4</v>
      </c>
      <c r="K598" s="3" t="s">
        <v>21</v>
      </c>
      <c r="L598" s="0" t="str">
        <f aca="false">VLOOKUP(D598,Products!$A$2:$D$13,2,FALSE())</f>
        <v>Stationery</v>
      </c>
      <c r="M598" s="3" t="n">
        <f aca="false">F598*G598*(1-H598/100)</f>
        <v>80</v>
      </c>
      <c r="N598" s="0" t="str">
        <f aca="false">VLOOKUP(I598,Customers!$A$2:$D$121,3,FALSE())</f>
        <v>Chennai</v>
      </c>
      <c r="O598" s="0" t="str">
        <f aca="false">VLOOKUP(I598,Customers!$A$2:$D$121,4,FALSE())</f>
        <v>Student</v>
      </c>
      <c r="P598" s="0" t="str">
        <f aca="false">TEXT(B598,"yyyy-mm")</f>
        <v>2025-12</v>
      </c>
    </row>
    <row r="599" customFormat="false" ht="15" hidden="false" customHeight="false" outlineLevel="0" collapsed="false">
      <c r="A599" s="0" t="s">
        <v>765</v>
      </c>
      <c r="B599" s="2" t="n">
        <v>45800</v>
      </c>
      <c r="C599" s="3" t="s">
        <v>72</v>
      </c>
      <c r="D599" s="3" t="s">
        <v>60</v>
      </c>
      <c r="E599" s="3" t="s">
        <v>73</v>
      </c>
      <c r="F599" s="0" t="n">
        <v>1</v>
      </c>
      <c r="G599" s="0" t="n">
        <v>40</v>
      </c>
      <c r="H599" s="0" t="n">
        <v>15</v>
      </c>
      <c r="I599" s="3" t="s">
        <v>234</v>
      </c>
      <c r="J599" s="0" t="n">
        <v>4</v>
      </c>
      <c r="K599" s="3" t="s">
        <v>34</v>
      </c>
      <c r="L599" s="0" t="str">
        <f aca="false">VLOOKUP(D599,Products!$A$2:$D$13,2,FALSE())</f>
        <v>Stationery</v>
      </c>
      <c r="M599" s="3" t="n">
        <f aca="false">F599*G599*(1-H599/100)</f>
        <v>34</v>
      </c>
      <c r="N599" s="0" t="str">
        <f aca="false">VLOOKUP(I599,Customers!$A$2:$D$121,3,FALSE())</f>
        <v>Indore</v>
      </c>
      <c r="O599" s="0" t="str">
        <f aca="false">VLOOKUP(I599,Customers!$A$2:$D$121,4,FALSE())</f>
        <v>Retail</v>
      </c>
      <c r="P599" s="0" t="str">
        <f aca="false">TEXT(B599,"yyyy-mm")</f>
        <v>2025-05</v>
      </c>
    </row>
    <row r="600" customFormat="false" ht="15" hidden="false" customHeight="false" outlineLevel="0" collapsed="false">
      <c r="A600" s="0" t="s">
        <v>766</v>
      </c>
      <c r="B600" s="2" t="n">
        <v>46039</v>
      </c>
      <c r="C600" s="3" t="s">
        <v>23</v>
      </c>
      <c r="D600" s="3" t="s">
        <v>116</v>
      </c>
      <c r="E600" s="3" t="s">
        <v>29</v>
      </c>
      <c r="F600" s="0" t="n">
        <v>1</v>
      </c>
      <c r="G600" s="0" t="n">
        <v>699</v>
      </c>
      <c r="H600" s="0" t="n">
        <v>0</v>
      </c>
      <c r="I600" s="3" t="s">
        <v>58</v>
      </c>
      <c r="J600" s="0" t="n">
        <v>4</v>
      </c>
      <c r="K600" s="3" t="s">
        <v>21</v>
      </c>
      <c r="L600" s="0" t="str">
        <f aca="false">VLOOKUP(D600,Products!$A$2:$D$13,2,FALSE())</f>
        <v>Home</v>
      </c>
      <c r="M600" s="3" t="n">
        <f aca="false">F600*G600*(1-H600/100)</f>
        <v>699</v>
      </c>
      <c r="N600" s="0" t="str">
        <f aca="false">VLOOKUP(I600,Customers!$A$2:$D$121,3,FALSE())</f>
        <v>Kolkata</v>
      </c>
      <c r="O600" s="0" t="str">
        <f aca="false">VLOOKUP(I600,Customers!$A$2:$D$121,4,FALSE())</f>
        <v>Corporate</v>
      </c>
      <c r="P600" s="0" t="str">
        <f aca="false">TEXT(B600,"yyyy-mm")</f>
        <v>2026-01</v>
      </c>
    </row>
    <row r="601" customFormat="false" ht="15" hidden="false" customHeight="false" outlineLevel="0" collapsed="false">
      <c r="A601" s="0" t="s">
        <v>767</v>
      </c>
      <c r="B601" s="2" t="n">
        <v>45940</v>
      </c>
      <c r="C601" s="3" t="s">
        <v>72</v>
      </c>
      <c r="D601" s="3" t="s">
        <v>57</v>
      </c>
      <c r="E601" s="3" t="s">
        <v>73</v>
      </c>
      <c r="F601" s="0" t="n">
        <v>2</v>
      </c>
      <c r="G601" s="0" t="n">
        <v>549</v>
      </c>
      <c r="H601" s="0" t="n">
        <v>0</v>
      </c>
      <c r="I601" s="3" t="s">
        <v>234</v>
      </c>
      <c r="J601" s="0" t="n">
        <v>4</v>
      </c>
      <c r="K601" s="3" t="s">
        <v>43</v>
      </c>
      <c r="L601" s="0" t="str">
        <f aca="false">VLOOKUP(D601,Products!$A$2:$D$13,2,FALSE())</f>
        <v>Accessories</v>
      </c>
      <c r="M601" s="3" t="n">
        <f aca="false">F601*G601*(1-H601/100)</f>
        <v>1098</v>
      </c>
      <c r="N601" s="0" t="str">
        <f aca="false">VLOOKUP(I601,Customers!$A$2:$D$121,3,FALSE())</f>
        <v>Indore</v>
      </c>
      <c r="O601" s="0" t="str">
        <f aca="false">VLOOKUP(I601,Customers!$A$2:$D$121,4,FALSE())</f>
        <v>Retail</v>
      </c>
      <c r="P601" s="0" t="str">
        <f aca="false">TEXT(B601,"yyyy-mm")</f>
        <v>2025-10</v>
      </c>
    </row>
    <row r="602" customFormat="false" ht="15" hidden="false" customHeight="false" outlineLevel="0" collapsed="false">
      <c r="A602" s="0" t="s">
        <v>768</v>
      </c>
      <c r="B602" s="2" t="n">
        <v>45751</v>
      </c>
      <c r="C602" s="3" t="s">
        <v>23</v>
      </c>
      <c r="D602" s="3" t="s">
        <v>32</v>
      </c>
      <c r="E602" s="3" t="s">
        <v>24</v>
      </c>
      <c r="F602" s="0" t="n">
        <v>2</v>
      </c>
      <c r="G602" s="0" t="n">
        <v>249</v>
      </c>
      <c r="H602" s="0" t="n">
        <v>10</v>
      </c>
      <c r="I602" s="3" t="s">
        <v>397</v>
      </c>
      <c r="J602" s="0" t="n">
        <v>3</v>
      </c>
      <c r="K602" s="3" t="s">
        <v>26</v>
      </c>
      <c r="L602" s="0" t="str">
        <f aca="false">VLOOKUP(D602,Products!$A$2:$D$13,2,FALSE())</f>
        <v>Accessories</v>
      </c>
      <c r="M602" s="3" t="n">
        <f aca="false">F602*G602*(1-H602/100)</f>
        <v>448.2</v>
      </c>
      <c r="N602" s="0" t="str">
        <f aca="false">VLOOKUP(I602,Customers!$A$2:$D$121,3,FALSE())</f>
        <v>Indore</v>
      </c>
      <c r="O602" s="0" t="str">
        <f aca="false">VLOOKUP(I602,Customers!$A$2:$D$121,4,FALSE())</f>
        <v>Retail</v>
      </c>
      <c r="P602" s="0" t="str">
        <f aca="false">TEXT(B602,"yyyy-mm")</f>
        <v>2025-04</v>
      </c>
    </row>
    <row r="603" customFormat="false" ht="15" hidden="false" customHeight="false" outlineLevel="0" collapsed="false">
      <c r="A603" s="0" t="s">
        <v>769</v>
      </c>
      <c r="B603" s="2" t="n">
        <v>46077</v>
      </c>
      <c r="C603" s="3" t="s">
        <v>23</v>
      </c>
      <c r="D603" s="3" t="s">
        <v>45</v>
      </c>
      <c r="E603" s="3" t="s">
        <v>24</v>
      </c>
      <c r="F603" s="0" t="n">
        <v>1</v>
      </c>
      <c r="G603" s="0" t="n">
        <v>30</v>
      </c>
      <c r="H603" s="0" t="n">
        <v>0</v>
      </c>
      <c r="I603" s="3" t="s">
        <v>86</v>
      </c>
      <c r="J603" s="0" t="n">
        <v>3</v>
      </c>
      <c r="K603" s="3" t="s">
        <v>34</v>
      </c>
      <c r="L603" s="0" t="str">
        <f aca="false">VLOOKUP(D603,Products!$A$2:$D$13,2,FALSE())</f>
        <v>Stationery</v>
      </c>
      <c r="M603" s="3" t="n">
        <f aca="false">F603*G603*(1-H603/100)</f>
        <v>30</v>
      </c>
      <c r="N603" s="0" t="str">
        <f aca="false">VLOOKUP(I603,Customers!$A$2:$D$121,3,FALSE())</f>
        <v>Kolkata</v>
      </c>
      <c r="O603" s="0" t="str">
        <f aca="false">VLOOKUP(I603,Customers!$A$2:$D$121,4,FALSE())</f>
        <v>Student</v>
      </c>
      <c r="P603" s="0" t="str">
        <f aca="false">TEXT(B603,"yyyy-mm")</f>
        <v>2026-02</v>
      </c>
    </row>
    <row r="604" customFormat="false" ht="15" hidden="false" customHeight="false" outlineLevel="0" collapsed="false">
      <c r="A604" s="0" t="s">
        <v>770</v>
      </c>
      <c r="B604" s="2" t="n">
        <v>46086</v>
      </c>
      <c r="C604" s="3" t="s">
        <v>17</v>
      </c>
      <c r="D604" s="3" t="s">
        <v>116</v>
      </c>
      <c r="E604" s="3" t="s">
        <v>19</v>
      </c>
      <c r="F604" s="0" t="n">
        <v>3</v>
      </c>
      <c r="G604" s="0" t="n">
        <v>699</v>
      </c>
      <c r="H604" s="0" t="n">
        <v>0</v>
      </c>
      <c r="I604" s="3" t="s">
        <v>322</v>
      </c>
      <c r="J604" s="0" t="n">
        <v>5</v>
      </c>
      <c r="K604" s="3" t="s">
        <v>43</v>
      </c>
      <c r="L604" s="0" t="str">
        <f aca="false">VLOOKUP(D604,Products!$A$2:$D$13,2,FALSE())</f>
        <v>Home</v>
      </c>
      <c r="M604" s="3" t="n">
        <f aca="false">F604*G604*(1-H604/100)</f>
        <v>2097</v>
      </c>
      <c r="N604" s="0" t="str">
        <f aca="false">VLOOKUP(I604,Customers!$A$2:$D$121,3,FALSE())</f>
        <v>Kolkata</v>
      </c>
      <c r="O604" s="0" t="str">
        <f aca="false">VLOOKUP(I604,Customers!$A$2:$D$121,4,FALSE())</f>
        <v>Retail</v>
      </c>
      <c r="P604" s="0" t="str">
        <f aca="false">TEXT(B604,"yyyy-mm")</f>
        <v>2026-03</v>
      </c>
    </row>
    <row r="605" customFormat="false" ht="15" hidden="false" customHeight="false" outlineLevel="0" collapsed="false">
      <c r="A605" s="0" t="s">
        <v>771</v>
      </c>
      <c r="B605" s="2" t="n">
        <v>45993</v>
      </c>
      <c r="C605" s="3" t="s">
        <v>51</v>
      </c>
      <c r="D605" s="3" t="s">
        <v>18</v>
      </c>
      <c r="E605" s="3" t="s">
        <v>83</v>
      </c>
      <c r="F605" s="0" t="n">
        <v>2</v>
      </c>
      <c r="G605" s="0" t="n">
        <v>349</v>
      </c>
      <c r="H605" s="0" t="n">
        <v>0</v>
      </c>
      <c r="I605" s="3" t="s">
        <v>335</v>
      </c>
      <c r="J605" s="0" t="n">
        <v>3</v>
      </c>
      <c r="K605" s="3" t="s">
        <v>21</v>
      </c>
      <c r="L605" s="0" t="str">
        <f aca="false">VLOOKUP(D605,Products!$A$2:$D$13,2,FALSE())</f>
        <v>Home</v>
      </c>
      <c r="M605" s="3" t="n">
        <f aca="false">F605*G605*(1-H605/100)</f>
        <v>698</v>
      </c>
      <c r="N605" s="0" t="str">
        <f aca="false">VLOOKUP(I605,Customers!$A$2:$D$121,3,FALSE())</f>
        <v>Bhopal</v>
      </c>
      <c r="O605" s="0" t="str">
        <f aca="false">VLOOKUP(I605,Customers!$A$2:$D$121,4,FALSE())</f>
        <v>Retail</v>
      </c>
      <c r="P605" s="0" t="str">
        <f aca="false">TEXT(B605,"yyyy-mm")</f>
        <v>2025-12</v>
      </c>
    </row>
    <row r="606" customFormat="false" ht="15" hidden="false" customHeight="false" outlineLevel="0" collapsed="false">
      <c r="A606" s="0" t="s">
        <v>772</v>
      </c>
      <c r="B606" s="2" t="n">
        <v>45813</v>
      </c>
      <c r="C606" s="3" t="s">
        <v>17</v>
      </c>
      <c r="D606" s="3" t="s">
        <v>28</v>
      </c>
      <c r="E606" s="3" t="s">
        <v>19</v>
      </c>
      <c r="F606" s="0" t="n">
        <v>1</v>
      </c>
      <c r="G606" s="0" t="n">
        <v>450</v>
      </c>
      <c r="H606" s="0" t="n">
        <v>10</v>
      </c>
      <c r="I606" s="3" t="s">
        <v>335</v>
      </c>
      <c r="J606" s="0" t="n">
        <v>3</v>
      </c>
      <c r="K606" s="3" t="s">
        <v>26</v>
      </c>
      <c r="L606" s="0" t="str">
        <f aca="false">VLOOKUP(D606,Products!$A$2:$D$13,2,FALSE())</f>
        <v>Electronics</v>
      </c>
      <c r="M606" s="3" t="n">
        <f aca="false">F606*G606*(1-H606/100)</f>
        <v>405</v>
      </c>
      <c r="N606" s="0" t="str">
        <f aca="false">VLOOKUP(I606,Customers!$A$2:$D$121,3,FALSE())</f>
        <v>Bhopal</v>
      </c>
      <c r="O606" s="0" t="str">
        <f aca="false">VLOOKUP(I606,Customers!$A$2:$D$121,4,FALSE())</f>
        <v>Retail</v>
      </c>
      <c r="P606" s="0" t="str">
        <f aca="false">TEXT(B606,"yyyy-mm")</f>
        <v>2025-06</v>
      </c>
    </row>
    <row r="607" customFormat="false" ht="15" hidden="false" customHeight="false" outlineLevel="0" collapsed="false">
      <c r="A607" s="0" t="s">
        <v>773</v>
      </c>
      <c r="B607" s="2" t="n">
        <v>45880</v>
      </c>
      <c r="C607" s="3" t="s">
        <v>36</v>
      </c>
      <c r="D607" s="3" t="s">
        <v>60</v>
      </c>
      <c r="E607" s="3" t="s">
        <v>38</v>
      </c>
      <c r="F607" s="0" t="n">
        <v>4</v>
      </c>
      <c r="G607" s="0" t="n">
        <v>40</v>
      </c>
      <c r="H607" s="0" t="n">
        <v>0</v>
      </c>
      <c r="I607" s="3" t="s">
        <v>234</v>
      </c>
      <c r="J607" s="0" t="n">
        <v>5</v>
      </c>
      <c r="K607" s="3" t="s">
        <v>34</v>
      </c>
      <c r="L607" s="0" t="str">
        <f aca="false">VLOOKUP(D607,Products!$A$2:$D$13,2,FALSE())</f>
        <v>Stationery</v>
      </c>
      <c r="M607" s="3" t="n">
        <f aca="false">F607*G607*(1-H607/100)</f>
        <v>160</v>
      </c>
      <c r="N607" s="0" t="str">
        <f aca="false">VLOOKUP(I607,Customers!$A$2:$D$121,3,FALSE())</f>
        <v>Indore</v>
      </c>
      <c r="O607" s="0" t="str">
        <f aca="false">VLOOKUP(I607,Customers!$A$2:$D$121,4,FALSE())</f>
        <v>Retail</v>
      </c>
      <c r="P607" s="0" t="str">
        <f aca="false">TEXT(B607,"yyyy-mm")</f>
        <v>2025-08</v>
      </c>
    </row>
    <row r="608" customFormat="false" ht="15" hidden="false" customHeight="false" outlineLevel="0" collapsed="false">
      <c r="A608" s="0" t="s">
        <v>774</v>
      </c>
      <c r="B608" s="2" t="n">
        <v>45977</v>
      </c>
      <c r="C608" s="3" t="s">
        <v>36</v>
      </c>
      <c r="D608" s="3" t="s">
        <v>45</v>
      </c>
      <c r="E608" s="3" t="s">
        <v>38</v>
      </c>
      <c r="F608" s="0" t="n">
        <v>5</v>
      </c>
      <c r="G608" s="0" t="n">
        <v>30</v>
      </c>
      <c r="H608" s="0" t="n">
        <v>10</v>
      </c>
      <c r="I608" s="3" t="s">
        <v>223</v>
      </c>
      <c r="J608" s="0" t="n">
        <v>5</v>
      </c>
      <c r="K608" s="3" t="s">
        <v>26</v>
      </c>
      <c r="L608" s="0" t="str">
        <f aca="false">VLOOKUP(D608,Products!$A$2:$D$13,2,FALSE())</f>
        <v>Stationery</v>
      </c>
      <c r="M608" s="3" t="n">
        <f aca="false">F608*G608*(1-H608/100)</f>
        <v>135</v>
      </c>
      <c r="N608" s="0" t="str">
        <f aca="false">VLOOKUP(I608,Customers!$A$2:$D$121,3,FALSE())</f>
        <v>Jaipur</v>
      </c>
      <c r="O608" s="0" t="str">
        <f aca="false">VLOOKUP(I608,Customers!$A$2:$D$121,4,FALSE())</f>
        <v>Student</v>
      </c>
      <c r="P608" s="0" t="str">
        <f aca="false">TEXT(B608,"yyyy-mm")</f>
        <v>2025-11</v>
      </c>
    </row>
    <row r="609" customFormat="false" ht="15" hidden="false" customHeight="false" outlineLevel="0" collapsed="false">
      <c r="A609" s="0" t="s">
        <v>775</v>
      </c>
      <c r="B609" s="2" t="n">
        <v>45821</v>
      </c>
      <c r="C609" s="3" t="s">
        <v>23</v>
      </c>
      <c r="D609" s="3" t="s">
        <v>88</v>
      </c>
      <c r="E609" s="3" t="s">
        <v>29</v>
      </c>
      <c r="F609" s="0" t="n">
        <v>1</v>
      </c>
      <c r="G609" s="0" t="n">
        <v>799</v>
      </c>
      <c r="H609" s="0" t="n">
        <v>10</v>
      </c>
      <c r="I609" s="3" t="s">
        <v>426</v>
      </c>
      <c r="J609" s="0" t="n">
        <v>5</v>
      </c>
      <c r="K609" s="3" t="s">
        <v>26</v>
      </c>
      <c r="L609" s="0" t="str">
        <f aca="false">VLOOKUP(D609,Products!$A$2:$D$13,2,FALSE())</f>
        <v>Accessories</v>
      </c>
      <c r="M609" s="3" t="n">
        <f aca="false">F609*G609*(1-H609/100)</f>
        <v>719.1</v>
      </c>
      <c r="N609" s="0" t="str">
        <f aca="false">VLOOKUP(I609,Customers!$A$2:$D$121,3,FALSE())</f>
        <v>Bhopal</v>
      </c>
      <c r="O609" s="0" t="str">
        <f aca="false">VLOOKUP(I609,Customers!$A$2:$D$121,4,FALSE())</f>
        <v>Corporate</v>
      </c>
      <c r="P609" s="0" t="str">
        <f aca="false">TEXT(B609,"yyyy-mm")</f>
        <v>2025-06</v>
      </c>
    </row>
    <row r="610" customFormat="false" ht="15" hidden="false" customHeight="false" outlineLevel="0" collapsed="false">
      <c r="A610" s="0" t="s">
        <v>776</v>
      </c>
      <c r="B610" s="2" t="n">
        <v>45980</v>
      </c>
      <c r="C610" s="3" t="s">
        <v>72</v>
      </c>
      <c r="D610" s="3" t="s">
        <v>48</v>
      </c>
      <c r="E610" s="3" t="s">
        <v>73</v>
      </c>
      <c r="F610" s="0" t="n">
        <v>1</v>
      </c>
      <c r="G610" s="0" t="n">
        <v>199</v>
      </c>
      <c r="H610" s="0" t="n">
        <v>10</v>
      </c>
      <c r="I610" s="3" t="s">
        <v>335</v>
      </c>
      <c r="J610" s="0" t="n">
        <v>2</v>
      </c>
      <c r="K610" s="3" t="s">
        <v>43</v>
      </c>
      <c r="L610" s="0" t="str">
        <f aca="false">VLOOKUP(D610,Products!$A$2:$D$13,2,FALSE())</f>
        <v>Home</v>
      </c>
      <c r="M610" s="3" t="n">
        <f aca="false">F610*G610*(1-H610/100)</f>
        <v>179.1</v>
      </c>
      <c r="N610" s="0" t="str">
        <f aca="false">VLOOKUP(I610,Customers!$A$2:$D$121,3,FALSE())</f>
        <v>Bhopal</v>
      </c>
      <c r="O610" s="0" t="str">
        <f aca="false">VLOOKUP(I610,Customers!$A$2:$D$121,4,FALSE())</f>
        <v>Retail</v>
      </c>
      <c r="P610" s="0" t="str">
        <f aca="false">TEXT(B610,"yyyy-mm")</f>
        <v>2025-11</v>
      </c>
    </row>
    <row r="611" customFormat="false" ht="15" hidden="false" customHeight="false" outlineLevel="0" collapsed="false">
      <c r="A611" s="0" t="s">
        <v>777</v>
      </c>
      <c r="B611" s="2" t="n">
        <v>45756</v>
      </c>
      <c r="C611" s="3" t="s">
        <v>17</v>
      </c>
      <c r="D611" s="3" t="s">
        <v>108</v>
      </c>
      <c r="E611" s="3" t="s">
        <v>93</v>
      </c>
      <c r="F611" s="0" t="n">
        <v>3</v>
      </c>
      <c r="G611" s="0" t="n">
        <v>180</v>
      </c>
      <c r="H611" s="0" t="n">
        <v>0</v>
      </c>
      <c r="I611" s="3" t="s">
        <v>234</v>
      </c>
      <c r="J611" s="0" t="n">
        <v>5</v>
      </c>
      <c r="K611" s="3" t="s">
        <v>26</v>
      </c>
      <c r="L611" s="0" t="str">
        <f aca="false">VLOOKUP(D611,Products!$A$2:$D$13,2,FALSE())</f>
        <v>Stationery</v>
      </c>
      <c r="M611" s="3" t="n">
        <f aca="false">F611*G611*(1-H611/100)</f>
        <v>540</v>
      </c>
      <c r="N611" s="0" t="str">
        <f aca="false">VLOOKUP(I611,Customers!$A$2:$D$121,3,FALSE())</f>
        <v>Indore</v>
      </c>
      <c r="O611" s="0" t="str">
        <f aca="false">VLOOKUP(I611,Customers!$A$2:$D$121,4,FALSE())</f>
        <v>Retail</v>
      </c>
      <c r="P611" s="0" t="str">
        <f aca="false">TEXT(B611,"yyyy-mm")</f>
        <v>2025-04</v>
      </c>
    </row>
    <row r="612" customFormat="false" ht="15" hidden="false" customHeight="false" outlineLevel="0" collapsed="false">
      <c r="A612" s="0" t="s">
        <v>778</v>
      </c>
      <c r="B612" s="2" t="n">
        <v>45838</v>
      </c>
      <c r="C612" s="3" t="s">
        <v>17</v>
      </c>
      <c r="D612" s="3" t="s">
        <v>116</v>
      </c>
      <c r="E612" s="3" t="s">
        <v>19</v>
      </c>
      <c r="F612" s="0" t="n">
        <v>3</v>
      </c>
      <c r="G612" s="0" t="n">
        <v>699</v>
      </c>
      <c r="H612" s="0" t="n">
        <v>5</v>
      </c>
      <c r="I612" s="3" t="s">
        <v>94</v>
      </c>
      <c r="J612" s="0" t="n">
        <v>4</v>
      </c>
      <c r="K612" s="3" t="s">
        <v>21</v>
      </c>
      <c r="L612" s="0" t="str">
        <f aca="false">VLOOKUP(D612,Products!$A$2:$D$13,2,FALSE())</f>
        <v>Home</v>
      </c>
      <c r="M612" s="3" t="n">
        <f aca="false">F612*G612*(1-H612/100)</f>
        <v>1992.15</v>
      </c>
      <c r="N612" s="0" t="str">
        <f aca="false">VLOOKUP(I612,Customers!$A$2:$D$121,3,FALSE())</f>
        <v>Chennai</v>
      </c>
      <c r="O612" s="0" t="str">
        <f aca="false">VLOOKUP(I612,Customers!$A$2:$D$121,4,FALSE())</f>
        <v>Corporate</v>
      </c>
      <c r="P612" s="0" t="str">
        <f aca="false">TEXT(B612,"yyyy-mm")</f>
        <v>2025-06</v>
      </c>
    </row>
    <row r="613" customFormat="false" ht="15" hidden="false" customHeight="false" outlineLevel="0" collapsed="false">
      <c r="A613" s="0" t="s">
        <v>779</v>
      </c>
      <c r="B613" s="2" t="n">
        <v>46085</v>
      </c>
      <c r="C613" s="3" t="s">
        <v>51</v>
      </c>
      <c r="D613" s="3" t="s">
        <v>45</v>
      </c>
      <c r="E613" s="3" t="s">
        <v>52</v>
      </c>
      <c r="F613" s="0" t="n">
        <v>1</v>
      </c>
      <c r="G613" s="0" t="n">
        <v>30</v>
      </c>
      <c r="H613" s="0" t="n">
        <v>0</v>
      </c>
      <c r="I613" s="3" t="s">
        <v>94</v>
      </c>
      <c r="J613" s="0" t="n">
        <v>4</v>
      </c>
      <c r="K613" s="3" t="s">
        <v>43</v>
      </c>
      <c r="L613" s="0" t="str">
        <f aca="false">VLOOKUP(D613,Products!$A$2:$D$13,2,FALSE())</f>
        <v>Stationery</v>
      </c>
      <c r="M613" s="3" t="n">
        <f aca="false">F613*G613*(1-H613/100)</f>
        <v>30</v>
      </c>
      <c r="N613" s="0" t="str">
        <f aca="false">VLOOKUP(I613,Customers!$A$2:$D$121,3,FALSE())</f>
        <v>Chennai</v>
      </c>
      <c r="O613" s="0" t="str">
        <f aca="false">VLOOKUP(I613,Customers!$A$2:$D$121,4,FALSE())</f>
        <v>Corporate</v>
      </c>
      <c r="P613" s="0" t="str">
        <f aca="false">TEXT(B613,"yyyy-mm")</f>
        <v>2026-03</v>
      </c>
    </row>
    <row r="614" customFormat="false" ht="15" hidden="false" customHeight="false" outlineLevel="0" collapsed="false">
      <c r="A614" s="0" t="s">
        <v>780</v>
      </c>
      <c r="B614" s="2" t="n">
        <v>45937</v>
      </c>
      <c r="C614" s="3" t="s">
        <v>51</v>
      </c>
      <c r="D614" s="3" t="s">
        <v>57</v>
      </c>
      <c r="E614" s="3" t="s">
        <v>52</v>
      </c>
      <c r="F614" s="0" t="n">
        <v>1</v>
      </c>
      <c r="G614" s="0" t="n">
        <v>549</v>
      </c>
      <c r="H614" s="0" t="n">
        <v>0</v>
      </c>
      <c r="I614" s="3" t="s">
        <v>55</v>
      </c>
      <c r="J614" s="0" t="n">
        <v>4</v>
      </c>
      <c r="K614" s="3" t="s">
        <v>43</v>
      </c>
      <c r="L614" s="0" t="str">
        <f aca="false">VLOOKUP(D614,Products!$A$2:$D$13,2,FALSE())</f>
        <v>Accessories</v>
      </c>
      <c r="M614" s="3" t="n">
        <f aca="false">F614*G614*(1-H614/100)</f>
        <v>549</v>
      </c>
      <c r="N614" s="0" t="str">
        <f aca="false">VLOOKUP(I614,Customers!$A$2:$D$121,3,FALSE())</f>
        <v>Jaipur</v>
      </c>
      <c r="O614" s="0" t="str">
        <f aca="false">VLOOKUP(I614,Customers!$A$2:$D$121,4,FALSE())</f>
        <v>Corporate</v>
      </c>
      <c r="P614" s="0" t="str">
        <f aca="false">TEXT(B614,"yyyy-mm")</f>
        <v>2025-10</v>
      </c>
    </row>
    <row r="615" customFormat="false" ht="15" hidden="false" customHeight="false" outlineLevel="0" collapsed="false">
      <c r="A615" s="0" t="s">
        <v>781</v>
      </c>
      <c r="B615" s="2" t="n">
        <v>46049</v>
      </c>
      <c r="C615" s="3" t="s">
        <v>72</v>
      </c>
      <c r="D615" s="3" t="s">
        <v>88</v>
      </c>
      <c r="E615" s="3" t="s">
        <v>89</v>
      </c>
      <c r="F615" s="0" t="n">
        <v>1</v>
      </c>
      <c r="G615" s="0" t="n">
        <v>799</v>
      </c>
      <c r="H615" s="0" t="n">
        <v>15</v>
      </c>
      <c r="I615" s="3" t="s">
        <v>280</v>
      </c>
      <c r="J615" s="0" t="n">
        <v>5</v>
      </c>
      <c r="K615" s="3" t="s">
        <v>43</v>
      </c>
      <c r="L615" s="0" t="str">
        <f aca="false">VLOOKUP(D615,Products!$A$2:$D$13,2,FALSE())</f>
        <v>Accessories</v>
      </c>
      <c r="M615" s="3" t="n">
        <f aca="false">F615*G615*(1-H615/100)</f>
        <v>679.15</v>
      </c>
      <c r="N615" s="0" t="str">
        <f aca="false">VLOOKUP(I615,Customers!$A$2:$D$121,3,FALSE())</f>
        <v>Kolkata</v>
      </c>
      <c r="O615" s="0" t="str">
        <f aca="false">VLOOKUP(I615,Customers!$A$2:$D$121,4,FALSE())</f>
        <v>Corporate</v>
      </c>
      <c r="P615" s="0" t="str">
        <f aca="false">TEXT(B615,"yyyy-mm")</f>
        <v>2026-01</v>
      </c>
    </row>
    <row r="616" customFormat="false" ht="15" hidden="false" customHeight="false" outlineLevel="0" collapsed="false">
      <c r="A616" s="0" t="s">
        <v>782</v>
      </c>
      <c r="B616" s="2" t="n">
        <v>45992</v>
      </c>
      <c r="C616" s="3" t="s">
        <v>72</v>
      </c>
      <c r="D616" s="3" t="s">
        <v>108</v>
      </c>
      <c r="E616" s="3" t="s">
        <v>73</v>
      </c>
      <c r="F616" s="0" t="n">
        <v>2</v>
      </c>
      <c r="G616" s="0" t="n">
        <v>180</v>
      </c>
      <c r="H616" s="0" t="n">
        <v>0</v>
      </c>
      <c r="I616" s="3" t="s">
        <v>280</v>
      </c>
      <c r="J616" s="0" t="n">
        <v>5</v>
      </c>
      <c r="K616" s="3" t="s">
        <v>43</v>
      </c>
      <c r="L616" s="0" t="str">
        <f aca="false">VLOOKUP(D616,Products!$A$2:$D$13,2,FALSE())</f>
        <v>Stationery</v>
      </c>
      <c r="M616" s="3" t="n">
        <f aca="false">F616*G616*(1-H616/100)</f>
        <v>360</v>
      </c>
      <c r="N616" s="0" t="str">
        <f aca="false">VLOOKUP(I616,Customers!$A$2:$D$121,3,FALSE())</f>
        <v>Kolkata</v>
      </c>
      <c r="O616" s="0" t="str">
        <f aca="false">VLOOKUP(I616,Customers!$A$2:$D$121,4,FALSE())</f>
        <v>Corporate</v>
      </c>
      <c r="P616" s="0" t="str">
        <f aca="false">TEXT(B616,"yyyy-mm")</f>
        <v>2025-12</v>
      </c>
    </row>
    <row r="617" customFormat="false" ht="15" hidden="false" customHeight="false" outlineLevel="0" collapsed="false">
      <c r="A617" s="0" t="s">
        <v>783</v>
      </c>
      <c r="B617" s="2" t="n">
        <v>45750</v>
      </c>
      <c r="C617" s="3" t="s">
        <v>36</v>
      </c>
      <c r="D617" s="3" t="s">
        <v>37</v>
      </c>
      <c r="E617" s="3" t="s">
        <v>38</v>
      </c>
      <c r="F617" s="0" t="n">
        <v>2</v>
      </c>
      <c r="G617" s="0" t="n">
        <v>500</v>
      </c>
      <c r="H617" s="0" t="n">
        <v>15</v>
      </c>
      <c r="I617" s="3" t="s">
        <v>65</v>
      </c>
      <c r="J617" s="0" t="n">
        <v>5</v>
      </c>
      <c r="K617" s="3" t="s">
        <v>21</v>
      </c>
      <c r="L617" s="0" t="str">
        <f aca="false">VLOOKUP(D617,Products!$A$2:$D$13,2,FALSE())</f>
        <v>Electronics</v>
      </c>
      <c r="M617" s="3" t="n">
        <f aca="false">F617*G617*(1-H617/100)</f>
        <v>850</v>
      </c>
      <c r="N617" s="0" t="str">
        <f aca="false">VLOOKUP(I617,Customers!$A$2:$D$121,3,FALSE())</f>
        <v>Jaipur</v>
      </c>
      <c r="O617" s="0" t="str">
        <f aca="false">VLOOKUP(I617,Customers!$A$2:$D$121,4,FALSE())</f>
        <v>Student</v>
      </c>
      <c r="P617" s="0" t="str">
        <f aca="false">TEXT(B617,"yyyy-mm")</f>
        <v>2025-04</v>
      </c>
    </row>
    <row r="618" customFormat="false" ht="15" hidden="false" customHeight="false" outlineLevel="0" collapsed="false">
      <c r="A618" s="0" t="s">
        <v>784</v>
      </c>
      <c r="B618" s="2" t="n">
        <v>46100</v>
      </c>
      <c r="C618" s="3" t="s">
        <v>36</v>
      </c>
      <c r="D618" s="3" t="s">
        <v>88</v>
      </c>
      <c r="E618" s="3" t="s">
        <v>38</v>
      </c>
      <c r="F618" s="0" t="n">
        <v>1</v>
      </c>
      <c r="G618" s="0" t="n">
        <v>799</v>
      </c>
      <c r="H618" s="0" t="n">
        <v>0</v>
      </c>
      <c r="I618" s="3" t="s">
        <v>237</v>
      </c>
      <c r="J618" s="0" t="n">
        <v>4</v>
      </c>
      <c r="K618" s="3" t="s">
        <v>43</v>
      </c>
      <c r="L618" s="0" t="str">
        <f aca="false">VLOOKUP(D618,Products!$A$2:$D$13,2,FALSE())</f>
        <v>Accessories</v>
      </c>
      <c r="M618" s="3" t="n">
        <f aca="false">F618*G618*(1-H618/100)</f>
        <v>799</v>
      </c>
      <c r="N618" s="0" t="str">
        <f aca="false">VLOOKUP(I618,Customers!$A$2:$D$121,3,FALSE())</f>
        <v>Jaipur</v>
      </c>
      <c r="O618" s="0" t="str">
        <f aca="false">VLOOKUP(I618,Customers!$A$2:$D$121,4,FALSE())</f>
        <v>Retail</v>
      </c>
      <c r="P618" s="0" t="str">
        <f aca="false">TEXT(B618,"yyyy-mm")</f>
        <v>2026-03</v>
      </c>
    </row>
    <row r="619" customFormat="false" ht="15" hidden="false" customHeight="false" outlineLevel="0" collapsed="false">
      <c r="A619" s="0" t="s">
        <v>785</v>
      </c>
      <c r="B619" s="2" t="n">
        <v>45877</v>
      </c>
      <c r="C619" s="3" t="s">
        <v>23</v>
      </c>
      <c r="D619" s="3" t="s">
        <v>18</v>
      </c>
      <c r="E619" s="3" t="s">
        <v>29</v>
      </c>
      <c r="F619" s="0" t="n">
        <v>2</v>
      </c>
      <c r="G619" s="0" t="n">
        <v>349</v>
      </c>
      <c r="H619" s="0" t="n">
        <v>0</v>
      </c>
      <c r="I619" s="3" t="s">
        <v>174</v>
      </c>
      <c r="J619" s="0" t="n">
        <v>4</v>
      </c>
      <c r="K619" s="3" t="s">
        <v>34</v>
      </c>
      <c r="L619" s="0" t="str">
        <f aca="false">VLOOKUP(D619,Products!$A$2:$D$13,2,FALSE())</f>
        <v>Home</v>
      </c>
      <c r="M619" s="3" t="n">
        <f aca="false">F619*G619*(1-H619/100)</f>
        <v>698</v>
      </c>
      <c r="N619" s="0" t="str">
        <f aca="false">VLOOKUP(I619,Customers!$A$2:$D$121,3,FALSE())</f>
        <v>Lucknow</v>
      </c>
      <c r="O619" s="0" t="str">
        <f aca="false">VLOOKUP(I619,Customers!$A$2:$D$121,4,FALSE())</f>
        <v>Student</v>
      </c>
      <c r="P619" s="0" t="str">
        <f aca="false">TEXT(B619,"yyyy-mm")</f>
        <v>2025-08</v>
      </c>
    </row>
    <row r="620" customFormat="false" ht="15" hidden="false" customHeight="false" outlineLevel="0" collapsed="false">
      <c r="A620" s="0" t="s">
        <v>786</v>
      </c>
      <c r="B620" s="2" t="n">
        <v>45852</v>
      </c>
      <c r="C620" s="3" t="s">
        <v>51</v>
      </c>
      <c r="D620" s="3" t="s">
        <v>18</v>
      </c>
      <c r="E620" s="3" t="s">
        <v>83</v>
      </c>
      <c r="F620" s="0" t="n">
        <v>3</v>
      </c>
      <c r="G620" s="0" t="n">
        <v>349</v>
      </c>
      <c r="H620" s="0" t="n">
        <v>5</v>
      </c>
      <c r="I620" s="3" t="s">
        <v>205</v>
      </c>
      <c r="J620" s="0" t="n">
        <v>5</v>
      </c>
      <c r="K620" s="3" t="s">
        <v>26</v>
      </c>
      <c r="L620" s="0" t="str">
        <f aca="false">VLOOKUP(D620,Products!$A$2:$D$13,2,FALSE())</f>
        <v>Home</v>
      </c>
      <c r="M620" s="3" t="n">
        <f aca="false">F620*G620*(1-H620/100)</f>
        <v>994.65</v>
      </c>
      <c r="N620" s="0" t="str">
        <f aca="false">VLOOKUP(I620,Customers!$A$2:$D$121,3,FALSE())</f>
        <v>Jaipur</v>
      </c>
      <c r="O620" s="0" t="str">
        <f aca="false">VLOOKUP(I620,Customers!$A$2:$D$121,4,FALSE())</f>
        <v>Student</v>
      </c>
      <c r="P620" s="0" t="str">
        <f aca="false">TEXT(B620,"yyyy-mm")</f>
        <v>2025-07</v>
      </c>
    </row>
    <row r="621" customFormat="false" ht="15" hidden="false" customHeight="false" outlineLevel="0" collapsed="false">
      <c r="A621" s="0" t="s">
        <v>787</v>
      </c>
      <c r="B621" s="2" t="n">
        <v>46032</v>
      </c>
      <c r="C621" s="3" t="s">
        <v>23</v>
      </c>
      <c r="D621" s="3" t="s">
        <v>41</v>
      </c>
      <c r="E621" s="3" t="s">
        <v>29</v>
      </c>
      <c r="F621" s="0" t="n">
        <v>1</v>
      </c>
      <c r="G621" s="0" t="n">
        <v>399</v>
      </c>
      <c r="H621" s="0" t="n">
        <v>5</v>
      </c>
      <c r="I621" s="3" t="s">
        <v>128</v>
      </c>
      <c r="J621" s="0" t="n">
        <v>5</v>
      </c>
      <c r="K621" s="3" t="s">
        <v>43</v>
      </c>
      <c r="L621" s="0" t="str">
        <f aca="false">VLOOKUP(D621,Products!$A$2:$D$13,2,FALSE())</f>
        <v>Electronics</v>
      </c>
      <c r="M621" s="3" t="n">
        <f aca="false">F621*G621*(1-H621/100)</f>
        <v>379.05</v>
      </c>
      <c r="N621" s="0" t="str">
        <f aca="false">VLOOKUP(I621,Customers!$A$2:$D$121,3,FALSE())</f>
        <v>Indore</v>
      </c>
      <c r="O621" s="0" t="str">
        <f aca="false">VLOOKUP(I621,Customers!$A$2:$D$121,4,FALSE())</f>
        <v>Corporate</v>
      </c>
      <c r="P621" s="0" t="str">
        <f aca="false">TEXT(B621,"yyyy-mm")</f>
        <v>2026-01</v>
      </c>
    </row>
    <row r="622" customFormat="false" ht="15" hidden="false" customHeight="false" outlineLevel="0" collapsed="false">
      <c r="A622" s="0" t="s">
        <v>788</v>
      </c>
      <c r="B622" s="2" t="n">
        <v>46085</v>
      </c>
      <c r="C622" s="3" t="s">
        <v>36</v>
      </c>
      <c r="D622" s="3" t="s">
        <v>48</v>
      </c>
      <c r="E622" s="3" t="s">
        <v>38</v>
      </c>
      <c r="F622" s="0" t="n">
        <v>1</v>
      </c>
      <c r="G622" s="0" t="n">
        <v>199</v>
      </c>
      <c r="H622" s="0" t="n">
        <v>0</v>
      </c>
      <c r="I622" s="3" t="s">
        <v>65</v>
      </c>
      <c r="J622" s="0" t="n">
        <v>3</v>
      </c>
      <c r="K622" s="3" t="s">
        <v>21</v>
      </c>
      <c r="L622" s="0" t="str">
        <f aca="false">VLOOKUP(D622,Products!$A$2:$D$13,2,FALSE())</f>
        <v>Home</v>
      </c>
      <c r="M622" s="3" t="n">
        <f aca="false">F622*G622*(1-H622/100)</f>
        <v>199</v>
      </c>
      <c r="N622" s="0" t="str">
        <f aca="false">VLOOKUP(I622,Customers!$A$2:$D$121,3,FALSE())</f>
        <v>Jaipur</v>
      </c>
      <c r="O622" s="0" t="str">
        <f aca="false">VLOOKUP(I622,Customers!$A$2:$D$121,4,FALSE())</f>
        <v>Student</v>
      </c>
      <c r="P622" s="0" t="str">
        <f aca="false">TEXT(B622,"yyyy-mm")</f>
        <v>2026-03</v>
      </c>
    </row>
    <row r="623" customFormat="false" ht="15" hidden="false" customHeight="false" outlineLevel="0" collapsed="false">
      <c r="A623" s="0" t="s">
        <v>789</v>
      </c>
      <c r="B623" s="2" t="n">
        <v>45953</v>
      </c>
      <c r="C623" s="3" t="s">
        <v>23</v>
      </c>
      <c r="D623" s="3" t="s">
        <v>28</v>
      </c>
      <c r="E623" s="3" t="s">
        <v>24</v>
      </c>
      <c r="F623" s="0" t="n">
        <v>3</v>
      </c>
      <c r="G623" s="0" t="n">
        <v>450</v>
      </c>
      <c r="H623" s="0" t="n">
        <v>0</v>
      </c>
      <c r="I623" s="3" t="s">
        <v>379</v>
      </c>
      <c r="J623" s="0" t="n">
        <v>4</v>
      </c>
      <c r="K623" s="3" t="s">
        <v>26</v>
      </c>
      <c r="L623" s="0" t="str">
        <f aca="false">VLOOKUP(D623,Products!$A$2:$D$13,2,FALSE())</f>
        <v>Electronics</v>
      </c>
      <c r="M623" s="3" t="n">
        <f aca="false">F623*G623*(1-H623/100)</f>
        <v>1350</v>
      </c>
      <c r="N623" s="0" t="str">
        <f aca="false">VLOOKUP(I623,Customers!$A$2:$D$121,3,FALSE())</f>
        <v>Kolkata</v>
      </c>
      <c r="O623" s="0" t="str">
        <f aca="false">VLOOKUP(I623,Customers!$A$2:$D$121,4,FALSE())</f>
        <v>Student</v>
      </c>
      <c r="P623" s="0" t="str">
        <f aca="false">TEXT(B623,"yyyy-mm")</f>
        <v>2025-10</v>
      </c>
    </row>
    <row r="624" customFormat="false" ht="15" hidden="false" customHeight="false" outlineLevel="0" collapsed="false">
      <c r="A624" s="0" t="s">
        <v>790</v>
      </c>
      <c r="B624" s="2" t="n">
        <v>45794</v>
      </c>
      <c r="C624" s="3" t="s">
        <v>17</v>
      </c>
      <c r="D624" s="3" t="s">
        <v>88</v>
      </c>
      <c r="E624" s="3" t="s">
        <v>93</v>
      </c>
      <c r="F624" s="0" t="n">
        <v>4</v>
      </c>
      <c r="G624" s="0" t="n">
        <v>799</v>
      </c>
      <c r="H624" s="0" t="n">
        <v>0</v>
      </c>
      <c r="I624" s="3" t="s">
        <v>223</v>
      </c>
      <c r="J624" s="0" t="n">
        <v>5</v>
      </c>
      <c r="K624" s="3" t="s">
        <v>21</v>
      </c>
      <c r="L624" s="0" t="str">
        <f aca="false">VLOOKUP(D624,Products!$A$2:$D$13,2,FALSE())</f>
        <v>Accessories</v>
      </c>
      <c r="M624" s="3" t="n">
        <f aca="false">F624*G624*(1-H624/100)</f>
        <v>3196</v>
      </c>
      <c r="N624" s="0" t="str">
        <f aca="false">VLOOKUP(I624,Customers!$A$2:$D$121,3,FALSE())</f>
        <v>Jaipur</v>
      </c>
      <c r="O624" s="0" t="str">
        <f aca="false">VLOOKUP(I624,Customers!$A$2:$D$121,4,FALSE())</f>
        <v>Student</v>
      </c>
      <c r="P624" s="0" t="str">
        <f aca="false">TEXT(B624,"yyyy-mm")</f>
        <v>2025-05</v>
      </c>
    </row>
    <row r="625" customFormat="false" ht="15" hidden="false" customHeight="false" outlineLevel="0" collapsed="false">
      <c r="A625" s="0" t="s">
        <v>791</v>
      </c>
      <c r="B625" s="2" t="n">
        <v>45861</v>
      </c>
      <c r="C625" s="3" t="s">
        <v>72</v>
      </c>
      <c r="D625" s="3" t="s">
        <v>45</v>
      </c>
      <c r="E625" s="3" t="s">
        <v>73</v>
      </c>
      <c r="F625" s="0" t="n">
        <v>2</v>
      </c>
      <c r="G625" s="0" t="n">
        <v>30</v>
      </c>
      <c r="H625" s="0" t="n">
        <v>0</v>
      </c>
      <c r="I625" s="3" t="s">
        <v>324</v>
      </c>
      <c r="J625" s="0" t="n">
        <v>4</v>
      </c>
      <c r="K625" s="3" t="s">
        <v>43</v>
      </c>
      <c r="L625" s="0" t="str">
        <f aca="false">VLOOKUP(D625,Products!$A$2:$D$13,2,FALSE())</f>
        <v>Stationery</v>
      </c>
      <c r="M625" s="3" t="n">
        <f aca="false">F625*G625*(1-H625/100)</f>
        <v>60</v>
      </c>
      <c r="N625" s="0" t="str">
        <f aca="false">VLOOKUP(I625,Customers!$A$2:$D$121,3,FALSE())</f>
        <v>Bhopal</v>
      </c>
      <c r="O625" s="0" t="str">
        <f aca="false">VLOOKUP(I625,Customers!$A$2:$D$121,4,FALSE())</f>
        <v>Retail</v>
      </c>
      <c r="P625" s="0" t="str">
        <f aca="false">TEXT(B625,"yyyy-mm")</f>
        <v>2025-07</v>
      </c>
    </row>
    <row r="626" customFormat="false" ht="15" hidden="false" customHeight="false" outlineLevel="0" collapsed="false">
      <c r="A626" s="0" t="s">
        <v>792</v>
      </c>
      <c r="B626" s="2" t="n">
        <v>45894</v>
      </c>
      <c r="C626" s="3" t="s">
        <v>23</v>
      </c>
      <c r="D626" s="3" t="s">
        <v>116</v>
      </c>
      <c r="E626" s="3" t="s">
        <v>24</v>
      </c>
      <c r="F626" s="0" t="n">
        <v>2</v>
      </c>
      <c r="G626" s="0" t="n">
        <v>699</v>
      </c>
      <c r="H626" s="0" t="n">
        <v>15</v>
      </c>
      <c r="I626" s="3" t="s">
        <v>70</v>
      </c>
      <c r="J626" s="0" t="n">
        <v>2</v>
      </c>
      <c r="K626" s="3" t="s">
        <v>43</v>
      </c>
      <c r="L626" s="0" t="str">
        <f aca="false">VLOOKUP(D626,Products!$A$2:$D$13,2,FALSE())</f>
        <v>Home</v>
      </c>
      <c r="M626" s="3" t="n">
        <f aca="false">F626*G626*(1-H626/100)</f>
        <v>1188.3</v>
      </c>
      <c r="N626" s="0" t="str">
        <f aca="false">VLOOKUP(I626,Customers!$A$2:$D$121,3,FALSE())</f>
        <v>Bhopal</v>
      </c>
      <c r="O626" s="0" t="str">
        <f aca="false">VLOOKUP(I626,Customers!$A$2:$D$121,4,FALSE())</f>
        <v>Retail</v>
      </c>
      <c r="P626" s="0" t="str">
        <f aca="false">TEXT(B626,"yyyy-mm")</f>
        <v>2025-08</v>
      </c>
    </row>
    <row r="627" customFormat="false" ht="15" hidden="false" customHeight="false" outlineLevel="0" collapsed="false">
      <c r="A627" s="0" t="s">
        <v>793</v>
      </c>
      <c r="B627" s="2" t="n">
        <v>45851</v>
      </c>
      <c r="C627" s="3" t="s">
        <v>17</v>
      </c>
      <c r="D627" s="3" t="s">
        <v>32</v>
      </c>
      <c r="E627" s="3" t="s">
        <v>93</v>
      </c>
      <c r="F627" s="0" t="n">
        <v>1</v>
      </c>
      <c r="G627" s="0" t="n">
        <v>249</v>
      </c>
      <c r="H627" s="0" t="n">
        <v>15</v>
      </c>
      <c r="I627" s="3" t="s">
        <v>249</v>
      </c>
      <c r="J627" s="0" t="n">
        <v>5</v>
      </c>
      <c r="K627" s="3" t="s">
        <v>26</v>
      </c>
      <c r="L627" s="0" t="str">
        <f aca="false">VLOOKUP(D627,Products!$A$2:$D$13,2,FALSE())</f>
        <v>Accessories</v>
      </c>
      <c r="M627" s="3" t="n">
        <f aca="false">F627*G627*(1-H627/100)</f>
        <v>211.65</v>
      </c>
      <c r="N627" s="0" t="str">
        <f aca="false">VLOOKUP(I627,Customers!$A$2:$D$121,3,FALSE())</f>
        <v>Jaipur</v>
      </c>
      <c r="O627" s="0" t="str">
        <f aca="false">VLOOKUP(I627,Customers!$A$2:$D$121,4,FALSE())</f>
        <v>Retail</v>
      </c>
      <c r="P627" s="0" t="str">
        <f aca="false">TEXT(B627,"yyyy-mm")</f>
        <v>2025-07</v>
      </c>
    </row>
    <row r="628" customFormat="false" ht="15" hidden="false" customHeight="false" outlineLevel="0" collapsed="false">
      <c r="A628" s="0" t="s">
        <v>794</v>
      </c>
      <c r="B628" s="2" t="n">
        <v>46009</v>
      </c>
      <c r="C628" s="3" t="s">
        <v>23</v>
      </c>
      <c r="D628" s="3" t="s">
        <v>60</v>
      </c>
      <c r="E628" s="3" t="s">
        <v>24</v>
      </c>
      <c r="F628" s="0" t="n">
        <v>1</v>
      </c>
      <c r="G628" s="0" t="n">
        <v>40</v>
      </c>
      <c r="H628" s="0" t="n">
        <v>10</v>
      </c>
      <c r="I628" s="3" t="s">
        <v>55</v>
      </c>
      <c r="J628" s="0" t="n">
        <v>3</v>
      </c>
      <c r="K628" s="3" t="s">
        <v>21</v>
      </c>
      <c r="L628" s="0" t="str">
        <f aca="false">VLOOKUP(D628,Products!$A$2:$D$13,2,FALSE())</f>
        <v>Stationery</v>
      </c>
      <c r="M628" s="3" t="n">
        <f aca="false">F628*G628*(1-H628/100)</f>
        <v>36</v>
      </c>
      <c r="N628" s="0" t="str">
        <f aca="false">VLOOKUP(I628,Customers!$A$2:$D$121,3,FALSE())</f>
        <v>Jaipur</v>
      </c>
      <c r="O628" s="0" t="str">
        <f aca="false">VLOOKUP(I628,Customers!$A$2:$D$121,4,FALSE())</f>
        <v>Corporate</v>
      </c>
      <c r="P628" s="0" t="str">
        <f aca="false">TEXT(B628,"yyyy-mm")</f>
        <v>2025-12</v>
      </c>
    </row>
    <row r="629" customFormat="false" ht="15" hidden="false" customHeight="false" outlineLevel="0" collapsed="false">
      <c r="A629" s="0" t="s">
        <v>795</v>
      </c>
      <c r="B629" s="2" t="n">
        <v>46083</v>
      </c>
      <c r="C629" s="3" t="s">
        <v>36</v>
      </c>
      <c r="D629" s="3" t="s">
        <v>41</v>
      </c>
      <c r="E629" s="3" t="s">
        <v>69</v>
      </c>
      <c r="F629" s="0" t="n">
        <v>2</v>
      </c>
      <c r="G629" s="0" t="n">
        <v>399</v>
      </c>
      <c r="H629" s="0" t="n">
        <v>0</v>
      </c>
      <c r="I629" s="3" t="s">
        <v>359</v>
      </c>
      <c r="J629" s="0" t="n">
        <v>2</v>
      </c>
      <c r="K629" s="3" t="s">
        <v>43</v>
      </c>
      <c r="L629" s="0" t="str">
        <f aca="false">VLOOKUP(D629,Products!$A$2:$D$13,2,FALSE())</f>
        <v>Electronics</v>
      </c>
      <c r="M629" s="3" t="n">
        <f aca="false">F629*G629*(1-H629/100)</f>
        <v>798</v>
      </c>
      <c r="N629" s="0" t="str">
        <f aca="false">VLOOKUP(I629,Customers!$A$2:$D$121,3,FALSE())</f>
        <v>Mumbai</v>
      </c>
      <c r="O629" s="0" t="str">
        <f aca="false">VLOOKUP(I629,Customers!$A$2:$D$121,4,FALSE())</f>
        <v>Retail</v>
      </c>
      <c r="P629" s="0" t="str">
        <f aca="false">TEXT(B629,"yyyy-mm")</f>
        <v>2026-03</v>
      </c>
    </row>
    <row r="630" customFormat="false" ht="15" hidden="false" customHeight="false" outlineLevel="0" collapsed="false">
      <c r="A630" s="0" t="s">
        <v>796</v>
      </c>
      <c r="B630" s="2" t="n">
        <v>45955</v>
      </c>
      <c r="C630" s="3" t="s">
        <v>51</v>
      </c>
      <c r="D630" s="3" t="s">
        <v>41</v>
      </c>
      <c r="E630" s="3" t="s">
        <v>52</v>
      </c>
      <c r="F630" s="0" t="n">
        <v>1</v>
      </c>
      <c r="G630" s="0" t="n">
        <v>399</v>
      </c>
      <c r="H630" s="0" t="n">
        <v>10</v>
      </c>
      <c r="I630" s="3" t="s">
        <v>273</v>
      </c>
      <c r="J630" s="0" t="n">
        <v>4</v>
      </c>
      <c r="K630" s="3" t="s">
        <v>21</v>
      </c>
      <c r="L630" s="0" t="str">
        <f aca="false">VLOOKUP(D630,Products!$A$2:$D$13,2,FALSE())</f>
        <v>Electronics</v>
      </c>
      <c r="M630" s="3" t="n">
        <f aca="false">F630*G630*(1-H630/100)</f>
        <v>359.1</v>
      </c>
      <c r="N630" s="0" t="str">
        <f aca="false">VLOOKUP(I630,Customers!$A$2:$D$121,3,FALSE())</f>
        <v>Jaipur</v>
      </c>
      <c r="O630" s="0" t="str">
        <f aca="false">VLOOKUP(I630,Customers!$A$2:$D$121,4,FALSE())</f>
        <v>Corporate</v>
      </c>
      <c r="P630" s="0" t="str">
        <f aca="false">TEXT(B630,"yyyy-mm")</f>
        <v>2025-10</v>
      </c>
    </row>
    <row r="631" customFormat="false" ht="15" hidden="false" customHeight="false" outlineLevel="0" collapsed="false">
      <c r="A631" s="0" t="s">
        <v>797</v>
      </c>
      <c r="B631" s="2" t="n">
        <v>46034</v>
      </c>
      <c r="C631" s="3" t="s">
        <v>72</v>
      </c>
      <c r="D631" s="3" t="s">
        <v>57</v>
      </c>
      <c r="E631" s="3" t="s">
        <v>73</v>
      </c>
      <c r="F631" s="0" t="n">
        <v>1</v>
      </c>
      <c r="G631" s="0" t="n">
        <v>549</v>
      </c>
      <c r="H631" s="0" t="n">
        <v>10</v>
      </c>
      <c r="I631" s="3" t="s">
        <v>141</v>
      </c>
      <c r="J631" s="0" t="n">
        <v>4</v>
      </c>
      <c r="K631" s="3" t="s">
        <v>26</v>
      </c>
      <c r="L631" s="0" t="str">
        <f aca="false">VLOOKUP(D631,Products!$A$2:$D$13,2,FALSE())</f>
        <v>Accessories</v>
      </c>
      <c r="M631" s="3" t="n">
        <f aca="false">F631*G631*(1-H631/100)</f>
        <v>494.1</v>
      </c>
      <c r="N631" s="0" t="str">
        <f aca="false">VLOOKUP(I631,Customers!$A$2:$D$121,3,FALSE())</f>
        <v>Bhopal</v>
      </c>
      <c r="O631" s="0" t="str">
        <f aca="false">VLOOKUP(I631,Customers!$A$2:$D$121,4,FALSE())</f>
        <v>Student</v>
      </c>
      <c r="P631" s="0" t="str">
        <f aca="false">TEXT(B631,"yyyy-mm")</f>
        <v>2026-01</v>
      </c>
    </row>
    <row r="632" customFormat="false" ht="15" hidden="false" customHeight="false" outlineLevel="0" collapsed="false">
      <c r="A632" s="0" t="s">
        <v>798</v>
      </c>
      <c r="B632" s="2" t="n">
        <v>45980</v>
      </c>
      <c r="C632" s="3" t="s">
        <v>36</v>
      </c>
      <c r="D632" s="3" t="s">
        <v>116</v>
      </c>
      <c r="E632" s="3" t="s">
        <v>38</v>
      </c>
      <c r="F632" s="0" t="n">
        <v>1</v>
      </c>
      <c r="G632" s="0" t="n">
        <v>699</v>
      </c>
      <c r="H632" s="0" t="n">
        <v>5</v>
      </c>
      <c r="I632" s="3" t="s">
        <v>254</v>
      </c>
      <c r="J632" s="0" t="n">
        <v>1</v>
      </c>
      <c r="K632" s="3" t="s">
        <v>43</v>
      </c>
      <c r="L632" s="0" t="str">
        <f aca="false">VLOOKUP(D632,Products!$A$2:$D$13,2,FALSE())</f>
        <v>Home</v>
      </c>
      <c r="M632" s="3" t="n">
        <f aca="false">F632*G632*(1-H632/100)</f>
        <v>664.05</v>
      </c>
      <c r="N632" s="0" t="str">
        <f aca="false">VLOOKUP(I632,Customers!$A$2:$D$121,3,FALSE())</f>
        <v>Pune</v>
      </c>
      <c r="O632" s="0" t="str">
        <f aca="false">VLOOKUP(I632,Customers!$A$2:$D$121,4,FALSE())</f>
        <v>Student</v>
      </c>
      <c r="P632" s="0" t="str">
        <f aca="false">TEXT(B632,"yyyy-mm")</f>
        <v>2025-11</v>
      </c>
    </row>
    <row r="633" customFormat="false" ht="15" hidden="false" customHeight="false" outlineLevel="0" collapsed="false">
      <c r="A633" s="0" t="s">
        <v>799</v>
      </c>
      <c r="B633" s="2" t="n">
        <v>46034</v>
      </c>
      <c r="C633" s="3" t="s">
        <v>17</v>
      </c>
      <c r="D633" s="3" t="s">
        <v>57</v>
      </c>
      <c r="E633" s="3" t="s">
        <v>19</v>
      </c>
      <c r="F633" s="0" t="n">
        <v>1</v>
      </c>
      <c r="G633" s="0" t="n">
        <v>549</v>
      </c>
      <c r="H633" s="0" t="n">
        <v>0</v>
      </c>
      <c r="I633" s="3" t="s">
        <v>302</v>
      </c>
      <c r="J633" s="0" t="n">
        <v>3</v>
      </c>
      <c r="K633" s="3" t="s">
        <v>34</v>
      </c>
      <c r="L633" s="0" t="str">
        <f aca="false">VLOOKUP(D633,Products!$A$2:$D$13,2,FALSE())</f>
        <v>Accessories</v>
      </c>
      <c r="M633" s="3" t="n">
        <f aca="false">F633*G633*(1-H633/100)</f>
        <v>549</v>
      </c>
      <c r="N633" s="0" t="str">
        <f aca="false">VLOOKUP(I633,Customers!$A$2:$D$121,3,FALSE())</f>
        <v>Nagpur</v>
      </c>
      <c r="O633" s="0" t="str">
        <f aca="false">VLOOKUP(I633,Customers!$A$2:$D$121,4,FALSE())</f>
        <v>Retail</v>
      </c>
      <c r="P633" s="0" t="str">
        <f aca="false">TEXT(B633,"yyyy-mm")</f>
        <v>2026-01</v>
      </c>
    </row>
    <row r="634" customFormat="false" ht="15" hidden="false" customHeight="false" outlineLevel="0" collapsed="false">
      <c r="A634" s="0" t="s">
        <v>800</v>
      </c>
      <c r="B634" s="2" t="n">
        <v>45876</v>
      </c>
      <c r="C634" s="3" t="s">
        <v>23</v>
      </c>
      <c r="D634" s="3" t="s">
        <v>57</v>
      </c>
      <c r="E634" s="3" t="s">
        <v>29</v>
      </c>
      <c r="F634" s="0" t="n">
        <v>1</v>
      </c>
      <c r="G634" s="0" t="n">
        <v>549</v>
      </c>
      <c r="H634" s="0" t="n">
        <v>15</v>
      </c>
      <c r="I634" s="3" t="s">
        <v>271</v>
      </c>
      <c r="J634" s="0" t="n">
        <v>5</v>
      </c>
      <c r="K634" s="3" t="s">
        <v>26</v>
      </c>
      <c r="L634" s="0" t="str">
        <f aca="false">VLOOKUP(D634,Products!$A$2:$D$13,2,FALSE())</f>
        <v>Accessories</v>
      </c>
      <c r="M634" s="3" t="n">
        <f aca="false">F634*G634*(1-H634/100)</f>
        <v>466.65</v>
      </c>
      <c r="N634" s="0" t="str">
        <f aca="false">VLOOKUP(I634,Customers!$A$2:$D$121,3,FALSE())</f>
        <v>Jaipur</v>
      </c>
      <c r="O634" s="0" t="str">
        <f aca="false">VLOOKUP(I634,Customers!$A$2:$D$121,4,FALSE())</f>
        <v>Retail</v>
      </c>
      <c r="P634" s="0" t="str">
        <f aca="false">TEXT(B634,"yyyy-mm")</f>
        <v>2025-08</v>
      </c>
    </row>
    <row r="635" customFormat="false" ht="15" hidden="false" customHeight="false" outlineLevel="0" collapsed="false">
      <c r="A635" s="0" t="s">
        <v>801</v>
      </c>
      <c r="B635" s="2" t="n">
        <v>46096</v>
      </c>
      <c r="C635" s="3" t="s">
        <v>51</v>
      </c>
      <c r="D635" s="3" t="s">
        <v>41</v>
      </c>
      <c r="E635" s="3" t="s">
        <v>52</v>
      </c>
      <c r="F635" s="0" t="n">
        <v>1</v>
      </c>
      <c r="G635" s="0" t="n">
        <v>399</v>
      </c>
      <c r="H635" s="0" t="n">
        <v>5</v>
      </c>
      <c r="I635" s="3" t="s">
        <v>400</v>
      </c>
      <c r="J635" s="0" t="n">
        <v>4</v>
      </c>
      <c r="K635" s="3" t="s">
        <v>43</v>
      </c>
      <c r="L635" s="0" t="str">
        <f aca="false">VLOOKUP(D635,Products!$A$2:$D$13,2,FALSE())</f>
        <v>Electronics</v>
      </c>
      <c r="M635" s="3" t="n">
        <f aca="false">F635*G635*(1-H635/100)</f>
        <v>379.05</v>
      </c>
      <c r="N635" s="0" t="str">
        <f aca="false">VLOOKUP(I635,Customers!$A$2:$D$121,3,FALSE())</f>
        <v>Lucknow</v>
      </c>
      <c r="O635" s="0" t="str">
        <f aca="false">VLOOKUP(I635,Customers!$A$2:$D$121,4,FALSE())</f>
        <v>Retail</v>
      </c>
      <c r="P635" s="0" t="str">
        <f aca="false">TEXT(B635,"yyyy-mm")</f>
        <v>2026-03</v>
      </c>
    </row>
    <row r="636" customFormat="false" ht="15" hidden="false" customHeight="false" outlineLevel="0" collapsed="false">
      <c r="A636" s="0" t="s">
        <v>802</v>
      </c>
      <c r="B636" s="2" t="n">
        <v>45782</v>
      </c>
      <c r="C636" s="3" t="s">
        <v>72</v>
      </c>
      <c r="D636" s="3" t="s">
        <v>45</v>
      </c>
      <c r="E636" s="3" t="s">
        <v>89</v>
      </c>
      <c r="F636" s="0" t="n">
        <v>1</v>
      </c>
      <c r="G636" s="0" t="n">
        <v>30</v>
      </c>
      <c r="H636" s="0" t="n">
        <v>5</v>
      </c>
      <c r="I636" s="3" t="s">
        <v>53</v>
      </c>
      <c r="J636" s="0" t="n">
        <v>5</v>
      </c>
      <c r="K636" s="3" t="s">
        <v>26</v>
      </c>
      <c r="L636" s="0" t="str">
        <f aca="false">VLOOKUP(D636,Products!$A$2:$D$13,2,FALSE())</f>
        <v>Stationery</v>
      </c>
      <c r="M636" s="3" t="n">
        <f aca="false">F636*G636*(1-H636/100)</f>
        <v>28.5</v>
      </c>
      <c r="N636" s="0" t="str">
        <f aca="false">VLOOKUP(I636,Customers!$A$2:$D$121,3,FALSE())</f>
        <v>Nagpur</v>
      </c>
      <c r="O636" s="0" t="str">
        <f aca="false">VLOOKUP(I636,Customers!$A$2:$D$121,4,FALSE())</f>
        <v>Retail</v>
      </c>
      <c r="P636" s="0" t="str">
        <f aca="false">TEXT(B636,"yyyy-mm")</f>
        <v>2025-05</v>
      </c>
    </row>
    <row r="637" customFormat="false" ht="15" hidden="false" customHeight="false" outlineLevel="0" collapsed="false">
      <c r="A637" s="0" t="s">
        <v>803</v>
      </c>
      <c r="B637" s="2" t="n">
        <v>45928</v>
      </c>
      <c r="C637" s="3" t="s">
        <v>51</v>
      </c>
      <c r="D637" s="3" t="s">
        <v>41</v>
      </c>
      <c r="E637" s="3" t="s">
        <v>83</v>
      </c>
      <c r="F637" s="0" t="n">
        <v>1</v>
      </c>
      <c r="G637" s="0" t="n">
        <v>399</v>
      </c>
      <c r="H637" s="0" t="n">
        <v>10</v>
      </c>
      <c r="I637" s="3" t="s">
        <v>286</v>
      </c>
      <c r="J637" s="0" t="n">
        <v>1</v>
      </c>
      <c r="K637" s="3" t="s">
        <v>26</v>
      </c>
      <c r="L637" s="0" t="str">
        <f aca="false">VLOOKUP(D637,Products!$A$2:$D$13,2,FALSE())</f>
        <v>Electronics</v>
      </c>
      <c r="M637" s="3" t="n">
        <f aca="false">F637*G637*(1-H637/100)</f>
        <v>359.1</v>
      </c>
      <c r="N637" s="0" t="str">
        <f aca="false">VLOOKUP(I637,Customers!$A$2:$D$121,3,FALSE())</f>
        <v>Pune</v>
      </c>
      <c r="O637" s="0" t="str">
        <f aca="false">VLOOKUP(I637,Customers!$A$2:$D$121,4,FALSE())</f>
        <v>Corporate</v>
      </c>
      <c r="P637" s="0" t="str">
        <f aca="false">TEXT(B637,"yyyy-mm")</f>
        <v>2025-09</v>
      </c>
    </row>
    <row r="638" customFormat="false" ht="15" hidden="false" customHeight="false" outlineLevel="0" collapsed="false">
      <c r="A638" s="0" t="s">
        <v>804</v>
      </c>
      <c r="B638" s="2" t="n">
        <v>45952</v>
      </c>
      <c r="C638" s="3" t="s">
        <v>17</v>
      </c>
      <c r="D638" s="3" t="s">
        <v>37</v>
      </c>
      <c r="E638" s="3" t="s">
        <v>19</v>
      </c>
      <c r="F638" s="0" t="n">
        <v>4</v>
      </c>
      <c r="G638" s="0" t="n">
        <v>500</v>
      </c>
      <c r="H638" s="0" t="n">
        <v>15</v>
      </c>
      <c r="I638" s="3" t="s">
        <v>65</v>
      </c>
      <c r="J638" s="0" t="n">
        <v>5</v>
      </c>
      <c r="K638" s="3" t="s">
        <v>26</v>
      </c>
      <c r="L638" s="0" t="str">
        <f aca="false">VLOOKUP(D638,Products!$A$2:$D$13,2,FALSE())</f>
        <v>Electronics</v>
      </c>
      <c r="M638" s="3" t="n">
        <f aca="false">F638*G638*(1-H638/100)</f>
        <v>1700</v>
      </c>
      <c r="N638" s="0" t="str">
        <f aca="false">VLOOKUP(I638,Customers!$A$2:$D$121,3,FALSE())</f>
        <v>Jaipur</v>
      </c>
      <c r="O638" s="0" t="str">
        <f aca="false">VLOOKUP(I638,Customers!$A$2:$D$121,4,FALSE())</f>
        <v>Student</v>
      </c>
      <c r="P638" s="0" t="str">
        <f aca="false">TEXT(B638,"yyyy-mm")</f>
        <v>2025-10</v>
      </c>
    </row>
    <row r="639" customFormat="false" ht="15" hidden="false" customHeight="false" outlineLevel="0" collapsed="false">
      <c r="A639" s="0" t="s">
        <v>805</v>
      </c>
      <c r="B639" s="2" t="n">
        <v>45929</v>
      </c>
      <c r="C639" s="3" t="s">
        <v>72</v>
      </c>
      <c r="D639" s="3" t="s">
        <v>32</v>
      </c>
      <c r="E639" s="3" t="s">
        <v>89</v>
      </c>
      <c r="F639" s="0" t="n">
        <v>2</v>
      </c>
      <c r="G639" s="0" t="n">
        <v>249</v>
      </c>
      <c r="H639" s="0" t="n">
        <v>0</v>
      </c>
      <c r="I639" s="3" t="s">
        <v>400</v>
      </c>
      <c r="J639" s="0" t="n">
        <v>4</v>
      </c>
      <c r="K639" s="3" t="s">
        <v>26</v>
      </c>
      <c r="L639" s="0" t="str">
        <f aca="false">VLOOKUP(D639,Products!$A$2:$D$13,2,FALSE())</f>
        <v>Accessories</v>
      </c>
      <c r="M639" s="3" t="n">
        <f aca="false">F639*G639*(1-H639/100)</f>
        <v>498</v>
      </c>
      <c r="N639" s="0" t="str">
        <f aca="false">VLOOKUP(I639,Customers!$A$2:$D$121,3,FALSE())</f>
        <v>Lucknow</v>
      </c>
      <c r="O639" s="0" t="str">
        <f aca="false">VLOOKUP(I639,Customers!$A$2:$D$121,4,FALSE())</f>
        <v>Retail</v>
      </c>
      <c r="P639" s="0" t="str">
        <f aca="false">TEXT(B639,"yyyy-mm")</f>
        <v>2025-09</v>
      </c>
    </row>
    <row r="640" customFormat="false" ht="15" hidden="false" customHeight="false" outlineLevel="0" collapsed="false">
      <c r="A640" s="0" t="s">
        <v>806</v>
      </c>
      <c r="B640" s="2" t="n">
        <v>45868</v>
      </c>
      <c r="C640" s="3" t="s">
        <v>36</v>
      </c>
      <c r="D640" s="3" t="s">
        <v>32</v>
      </c>
      <c r="E640" s="3" t="s">
        <v>38</v>
      </c>
      <c r="F640" s="0" t="n">
        <v>2</v>
      </c>
      <c r="G640" s="0" t="n">
        <v>249</v>
      </c>
      <c r="H640" s="0" t="n">
        <v>15</v>
      </c>
      <c r="I640" s="3" t="s">
        <v>81</v>
      </c>
      <c r="J640" s="0" t="n">
        <v>5</v>
      </c>
      <c r="K640" s="3" t="s">
        <v>26</v>
      </c>
      <c r="L640" s="0" t="str">
        <f aca="false">VLOOKUP(D640,Products!$A$2:$D$13,2,FALSE())</f>
        <v>Accessories</v>
      </c>
      <c r="M640" s="3" t="n">
        <f aca="false">F640*G640*(1-H640/100)</f>
        <v>423.3</v>
      </c>
      <c r="N640" s="0" t="str">
        <f aca="false">VLOOKUP(I640,Customers!$A$2:$D$121,3,FALSE())</f>
        <v>Pune</v>
      </c>
      <c r="O640" s="0" t="str">
        <f aca="false">VLOOKUP(I640,Customers!$A$2:$D$121,4,FALSE())</f>
        <v>Corporate</v>
      </c>
      <c r="P640" s="0" t="str">
        <f aca="false">TEXT(B640,"yyyy-mm")</f>
        <v>2025-07</v>
      </c>
    </row>
    <row r="641" customFormat="false" ht="15" hidden="false" customHeight="false" outlineLevel="0" collapsed="false">
      <c r="A641" s="0" t="s">
        <v>807</v>
      </c>
      <c r="B641" s="2" t="n">
        <v>46064</v>
      </c>
      <c r="C641" s="3" t="s">
        <v>36</v>
      </c>
      <c r="D641" s="3" t="s">
        <v>28</v>
      </c>
      <c r="E641" s="3" t="s">
        <v>38</v>
      </c>
      <c r="F641" s="0" t="n">
        <v>3</v>
      </c>
      <c r="G641" s="0" t="n">
        <v>450</v>
      </c>
      <c r="H641" s="0" t="n">
        <v>0</v>
      </c>
      <c r="I641" s="3" t="s">
        <v>485</v>
      </c>
      <c r="J641" s="0" t="n">
        <v>5</v>
      </c>
      <c r="K641" s="3" t="s">
        <v>21</v>
      </c>
      <c r="L641" s="0" t="str">
        <f aca="false">VLOOKUP(D641,Products!$A$2:$D$13,2,FALSE())</f>
        <v>Electronics</v>
      </c>
      <c r="M641" s="3" t="n">
        <f aca="false">F641*G641*(1-H641/100)</f>
        <v>1350</v>
      </c>
      <c r="N641" s="0" t="str">
        <f aca="false">VLOOKUP(I641,Customers!$A$2:$D$121,3,FALSE())</f>
        <v>Indore</v>
      </c>
      <c r="O641" s="0" t="str">
        <f aca="false">VLOOKUP(I641,Customers!$A$2:$D$121,4,FALSE())</f>
        <v>Retail</v>
      </c>
      <c r="P641" s="0" t="str">
        <f aca="false">TEXT(B641,"yyyy-mm")</f>
        <v>2026-02</v>
      </c>
    </row>
    <row r="642" customFormat="false" ht="15" hidden="false" customHeight="false" outlineLevel="0" collapsed="false">
      <c r="A642" s="0" t="s">
        <v>808</v>
      </c>
      <c r="B642" s="2" t="n">
        <v>46062</v>
      </c>
      <c r="C642" s="3" t="s">
        <v>51</v>
      </c>
      <c r="D642" s="3" t="s">
        <v>18</v>
      </c>
      <c r="E642" s="3" t="s">
        <v>52</v>
      </c>
      <c r="F642" s="0" t="n">
        <v>2</v>
      </c>
      <c r="G642" s="0" t="n">
        <v>349</v>
      </c>
      <c r="H642" s="0" t="n">
        <v>0</v>
      </c>
      <c r="I642" s="3" t="s">
        <v>33</v>
      </c>
      <c r="J642" s="0" t="n">
        <v>5</v>
      </c>
      <c r="K642" s="3" t="s">
        <v>43</v>
      </c>
      <c r="L642" s="0" t="str">
        <f aca="false">VLOOKUP(D642,Products!$A$2:$D$13,2,FALSE())</f>
        <v>Home</v>
      </c>
      <c r="M642" s="3" t="n">
        <f aca="false">F642*G642*(1-H642/100)</f>
        <v>698</v>
      </c>
      <c r="N642" s="0" t="str">
        <f aca="false">VLOOKUP(I642,Customers!$A$2:$D$121,3,FALSE())</f>
        <v>Indore</v>
      </c>
      <c r="O642" s="0" t="str">
        <f aca="false">VLOOKUP(I642,Customers!$A$2:$D$121,4,FALSE())</f>
        <v>Corporate</v>
      </c>
      <c r="P642" s="0" t="str">
        <f aca="false">TEXT(B642,"yyyy-mm")</f>
        <v>2026-02</v>
      </c>
    </row>
    <row r="643" customFormat="false" ht="15" hidden="false" customHeight="false" outlineLevel="0" collapsed="false">
      <c r="A643" s="0" t="s">
        <v>809</v>
      </c>
      <c r="B643" s="2" t="n">
        <v>45909</v>
      </c>
      <c r="C643" s="3" t="s">
        <v>23</v>
      </c>
      <c r="D643" s="3" t="s">
        <v>41</v>
      </c>
      <c r="E643" s="3" t="s">
        <v>29</v>
      </c>
      <c r="F643" s="0" t="n">
        <v>1</v>
      </c>
      <c r="G643" s="0" t="n">
        <v>399</v>
      </c>
      <c r="H643" s="0" t="n">
        <v>5</v>
      </c>
      <c r="I643" s="3" t="s">
        <v>400</v>
      </c>
      <c r="J643" s="0" t="n">
        <v>5</v>
      </c>
      <c r="K643" s="3" t="s">
        <v>43</v>
      </c>
      <c r="L643" s="0" t="str">
        <f aca="false">VLOOKUP(D643,Products!$A$2:$D$13,2,FALSE())</f>
        <v>Electronics</v>
      </c>
      <c r="M643" s="3" t="n">
        <f aca="false">F643*G643*(1-H643/100)</f>
        <v>379.05</v>
      </c>
      <c r="N643" s="0" t="str">
        <f aca="false">VLOOKUP(I643,Customers!$A$2:$D$121,3,FALSE())</f>
        <v>Lucknow</v>
      </c>
      <c r="O643" s="0" t="str">
        <f aca="false">VLOOKUP(I643,Customers!$A$2:$D$121,4,FALSE())</f>
        <v>Retail</v>
      </c>
      <c r="P643" s="0" t="str">
        <f aca="false">TEXT(B643,"yyyy-mm")</f>
        <v>2025-09</v>
      </c>
    </row>
    <row r="644" customFormat="false" ht="15" hidden="false" customHeight="false" outlineLevel="0" collapsed="false">
      <c r="A644" s="0" t="s">
        <v>810</v>
      </c>
      <c r="B644" s="2" t="n">
        <v>45891</v>
      </c>
      <c r="C644" s="3" t="s">
        <v>23</v>
      </c>
      <c r="D644" s="3" t="s">
        <v>108</v>
      </c>
      <c r="E644" s="3" t="s">
        <v>24</v>
      </c>
      <c r="F644" s="0" t="n">
        <v>2</v>
      </c>
      <c r="G644" s="0" t="n">
        <v>180</v>
      </c>
      <c r="H644" s="0" t="n">
        <v>5</v>
      </c>
      <c r="I644" s="3" t="s">
        <v>203</v>
      </c>
      <c r="J644" s="0" t="n">
        <v>5</v>
      </c>
      <c r="K644" s="3" t="s">
        <v>21</v>
      </c>
      <c r="L644" s="0" t="str">
        <f aca="false">VLOOKUP(D644,Products!$A$2:$D$13,2,FALSE())</f>
        <v>Stationery</v>
      </c>
      <c r="M644" s="3" t="n">
        <f aca="false">F644*G644*(1-H644/100)</f>
        <v>342</v>
      </c>
      <c r="N644" s="0" t="str">
        <f aca="false">VLOOKUP(I644,Customers!$A$2:$D$121,3,FALSE())</f>
        <v>Jaipur</v>
      </c>
      <c r="O644" s="0" t="str">
        <f aca="false">VLOOKUP(I644,Customers!$A$2:$D$121,4,FALSE())</f>
        <v>Corporate</v>
      </c>
      <c r="P644" s="0" t="str">
        <f aca="false">TEXT(B644,"yyyy-mm")</f>
        <v>2025-08</v>
      </c>
    </row>
    <row r="645" customFormat="false" ht="15" hidden="false" customHeight="false" outlineLevel="0" collapsed="false">
      <c r="A645" s="0" t="s">
        <v>811</v>
      </c>
      <c r="B645" s="2" t="n">
        <v>45992</v>
      </c>
      <c r="C645" s="3" t="s">
        <v>51</v>
      </c>
      <c r="D645" s="3" t="s">
        <v>57</v>
      </c>
      <c r="E645" s="3" t="s">
        <v>83</v>
      </c>
      <c r="F645" s="0" t="n">
        <v>2</v>
      </c>
      <c r="G645" s="0" t="n">
        <v>549</v>
      </c>
      <c r="H645" s="0" t="n">
        <v>10</v>
      </c>
      <c r="I645" s="3" t="s">
        <v>145</v>
      </c>
      <c r="J645" s="0" t="n">
        <v>4</v>
      </c>
      <c r="K645" s="3" t="s">
        <v>26</v>
      </c>
      <c r="L645" s="0" t="str">
        <f aca="false">VLOOKUP(D645,Products!$A$2:$D$13,2,FALSE())</f>
        <v>Accessories</v>
      </c>
      <c r="M645" s="3" t="n">
        <f aca="false">F645*G645*(1-H645/100)</f>
        <v>988.2</v>
      </c>
      <c r="N645" s="0" t="str">
        <f aca="false">VLOOKUP(I645,Customers!$A$2:$D$121,3,FALSE())</f>
        <v>Bhopal</v>
      </c>
      <c r="O645" s="0" t="str">
        <f aca="false">VLOOKUP(I645,Customers!$A$2:$D$121,4,FALSE())</f>
        <v>Student</v>
      </c>
      <c r="P645" s="0" t="str">
        <f aca="false">TEXT(B645,"yyyy-mm")</f>
        <v>2025-12</v>
      </c>
    </row>
    <row r="646" customFormat="false" ht="15" hidden="false" customHeight="false" outlineLevel="0" collapsed="false">
      <c r="A646" s="0" t="s">
        <v>812</v>
      </c>
      <c r="B646" s="2" t="n">
        <v>46105</v>
      </c>
      <c r="C646" s="3" t="s">
        <v>17</v>
      </c>
      <c r="D646" s="3" t="s">
        <v>32</v>
      </c>
      <c r="E646" s="3" t="s">
        <v>19</v>
      </c>
      <c r="F646" s="0" t="n">
        <v>3</v>
      </c>
      <c r="G646" s="0" t="n">
        <v>249</v>
      </c>
      <c r="H646" s="0" t="n">
        <v>10</v>
      </c>
      <c r="I646" s="3" t="s">
        <v>63</v>
      </c>
      <c r="J646" s="0" t="n">
        <v>3</v>
      </c>
      <c r="K646" s="3" t="s">
        <v>21</v>
      </c>
      <c r="L646" s="0" t="str">
        <f aca="false">VLOOKUP(D646,Products!$A$2:$D$13,2,FALSE())</f>
        <v>Accessories</v>
      </c>
      <c r="M646" s="3" t="n">
        <f aca="false">F646*G646*(1-H646/100)</f>
        <v>672.3</v>
      </c>
      <c r="N646" s="0" t="str">
        <f aca="false">VLOOKUP(I646,Customers!$A$2:$D$121,3,FALSE())</f>
        <v>Indore</v>
      </c>
      <c r="O646" s="0" t="str">
        <f aca="false">VLOOKUP(I646,Customers!$A$2:$D$121,4,FALSE())</f>
        <v>Student</v>
      </c>
      <c r="P646" s="0" t="str">
        <f aca="false">TEXT(B646,"yyyy-mm")</f>
        <v>2026-03</v>
      </c>
    </row>
    <row r="647" customFormat="false" ht="15" hidden="false" customHeight="false" outlineLevel="0" collapsed="false">
      <c r="A647" s="0" t="s">
        <v>813</v>
      </c>
      <c r="B647" s="2" t="n">
        <v>45942</v>
      </c>
      <c r="C647" s="3" t="s">
        <v>36</v>
      </c>
      <c r="D647" s="3" t="s">
        <v>18</v>
      </c>
      <c r="E647" s="3" t="s">
        <v>69</v>
      </c>
      <c r="F647" s="0" t="n">
        <v>1</v>
      </c>
      <c r="G647" s="0" t="n">
        <v>349</v>
      </c>
      <c r="H647" s="0" t="n">
        <v>10</v>
      </c>
      <c r="I647" s="3" t="s">
        <v>98</v>
      </c>
      <c r="J647" s="0" t="n">
        <v>3</v>
      </c>
      <c r="K647" s="3" t="s">
        <v>26</v>
      </c>
      <c r="L647" s="0" t="str">
        <f aca="false">VLOOKUP(D647,Products!$A$2:$D$13,2,FALSE())</f>
        <v>Home</v>
      </c>
      <c r="M647" s="3" t="n">
        <f aca="false">F647*G647*(1-H647/100)</f>
        <v>314.1</v>
      </c>
      <c r="N647" s="0" t="str">
        <f aca="false">VLOOKUP(I647,Customers!$A$2:$D$121,3,FALSE())</f>
        <v>Pune</v>
      </c>
      <c r="O647" s="0" t="str">
        <f aca="false">VLOOKUP(I647,Customers!$A$2:$D$121,4,FALSE())</f>
        <v>Retail</v>
      </c>
      <c r="P647" s="0" t="str">
        <f aca="false">TEXT(B647,"yyyy-mm")</f>
        <v>2025-10</v>
      </c>
    </row>
    <row r="648" customFormat="false" ht="15" hidden="false" customHeight="false" outlineLevel="0" collapsed="false">
      <c r="A648" s="0" t="s">
        <v>814</v>
      </c>
      <c r="B648" s="2" t="n">
        <v>45869</v>
      </c>
      <c r="C648" s="3" t="s">
        <v>72</v>
      </c>
      <c r="D648" s="3" t="s">
        <v>57</v>
      </c>
      <c r="E648" s="3" t="s">
        <v>73</v>
      </c>
      <c r="F648" s="0" t="n">
        <v>1</v>
      </c>
      <c r="G648" s="0" t="n">
        <v>549</v>
      </c>
      <c r="H648" s="0" t="n">
        <v>0</v>
      </c>
      <c r="I648" s="3" t="s">
        <v>223</v>
      </c>
      <c r="J648" s="0" t="n">
        <v>5</v>
      </c>
      <c r="K648" s="3" t="s">
        <v>34</v>
      </c>
      <c r="L648" s="0" t="str">
        <f aca="false">VLOOKUP(D648,Products!$A$2:$D$13,2,FALSE())</f>
        <v>Accessories</v>
      </c>
      <c r="M648" s="3" t="n">
        <f aca="false">F648*G648*(1-H648/100)</f>
        <v>549</v>
      </c>
      <c r="N648" s="0" t="str">
        <f aca="false">VLOOKUP(I648,Customers!$A$2:$D$121,3,FALSE())</f>
        <v>Jaipur</v>
      </c>
      <c r="O648" s="0" t="str">
        <f aca="false">VLOOKUP(I648,Customers!$A$2:$D$121,4,FALSE())</f>
        <v>Student</v>
      </c>
      <c r="P648" s="0" t="str">
        <f aca="false">TEXT(B648,"yyyy-mm")</f>
        <v>2025-07</v>
      </c>
    </row>
    <row r="649" customFormat="false" ht="15" hidden="false" customHeight="false" outlineLevel="0" collapsed="false">
      <c r="A649" s="0" t="s">
        <v>815</v>
      </c>
      <c r="B649" s="2" t="n">
        <v>45965</v>
      </c>
      <c r="C649" s="3" t="s">
        <v>51</v>
      </c>
      <c r="D649" s="3" t="s">
        <v>108</v>
      </c>
      <c r="E649" s="3" t="s">
        <v>83</v>
      </c>
      <c r="F649" s="0" t="n">
        <v>1</v>
      </c>
      <c r="G649" s="0" t="n">
        <v>180</v>
      </c>
      <c r="H649" s="0" t="n">
        <v>0</v>
      </c>
      <c r="I649" s="3" t="s">
        <v>322</v>
      </c>
      <c r="J649" s="0" t="n">
        <v>4</v>
      </c>
      <c r="K649" s="3" t="s">
        <v>34</v>
      </c>
      <c r="L649" s="0" t="str">
        <f aca="false">VLOOKUP(D649,Products!$A$2:$D$13,2,FALSE())</f>
        <v>Stationery</v>
      </c>
      <c r="M649" s="3" t="n">
        <f aca="false">F649*G649*(1-H649/100)</f>
        <v>180</v>
      </c>
      <c r="N649" s="0" t="str">
        <f aca="false">VLOOKUP(I649,Customers!$A$2:$D$121,3,FALSE())</f>
        <v>Kolkata</v>
      </c>
      <c r="O649" s="0" t="str">
        <f aca="false">VLOOKUP(I649,Customers!$A$2:$D$121,4,FALSE())</f>
        <v>Retail</v>
      </c>
      <c r="P649" s="0" t="str">
        <f aca="false">TEXT(B649,"yyyy-mm")</f>
        <v>2025-11</v>
      </c>
    </row>
    <row r="650" customFormat="false" ht="15" hidden="false" customHeight="false" outlineLevel="0" collapsed="false">
      <c r="A650" s="0" t="s">
        <v>816</v>
      </c>
      <c r="B650" s="2" t="n">
        <v>45978</v>
      </c>
      <c r="C650" s="3" t="s">
        <v>72</v>
      </c>
      <c r="D650" s="3" t="s">
        <v>88</v>
      </c>
      <c r="E650" s="3" t="s">
        <v>89</v>
      </c>
      <c r="F650" s="0" t="n">
        <v>1</v>
      </c>
      <c r="G650" s="0" t="n">
        <v>799</v>
      </c>
      <c r="H650" s="0" t="n">
        <v>0</v>
      </c>
      <c r="I650" s="3" t="s">
        <v>254</v>
      </c>
      <c r="J650" s="0" t="n">
        <v>3</v>
      </c>
      <c r="K650" s="3" t="s">
        <v>21</v>
      </c>
      <c r="L650" s="0" t="str">
        <f aca="false">VLOOKUP(D650,Products!$A$2:$D$13,2,FALSE())</f>
        <v>Accessories</v>
      </c>
      <c r="M650" s="3" t="n">
        <f aca="false">F650*G650*(1-H650/100)</f>
        <v>799</v>
      </c>
      <c r="N650" s="0" t="str">
        <f aca="false">VLOOKUP(I650,Customers!$A$2:$D$121,3,FALSE())</f>
        <v>Pune</v>
      </c>
      <c r="O650" s="0" t="str">
        <f aca="false">VLOOKUP(I650,Customers!$A$2:$D$121,4,FALSE())</f>
        <v>Student</v>
      </c>
      <c r="P650" s="0" t="str">
        <f aca="false">TEXT(B650,"yyyy-mm")</f>
        <v>2025-11</v>
      </c>
    </row>
    <row r="651" customFormat="false" ht="15" hidden="false" customHeight="false" outlineLevel="0" collapsed="false">
      <c r="A651" s="0" t="s">
        <v>817</v>
      </c>
      <c r="B651" s="2" t="n">
        <v>45868</v>
      </c>
      <c r="C651" s="3" t="s">
        <v>72</v>
      </c>
      <c r="D651" s="3" t="s">
        <v>48</v>
      </c>
      <c r="E651" s="3" t="s">
        <v>89</v>
      </c>
      <c r="F651" s="0" t="n">
        <v>2</v>
      </c>
      <c r="G651" s="0" t="n">
        <v>199</v>
      </c>
      <c r="H651" s="0" t="n">
        <v>10</v>
      </c>
      <c r="I651" s="3" t="s">
        <v>489</v>
      </c>
      <c r="J651" s="0" t="n">
        <v>5</v>
      </c>
      <c r="K651" s="3" t="s">
        <v>26</v>
      </c>
      <c r="L651" s="0" t="str">
        <f aca="false">VLOOKUP(D651,Products!$A$2:$D$13,2,FALSE())</f>
        <v>Home</v>
      </c>
      <c r="M651" s="3" t="n">
        <f aca="false">F651*G651*(1-H651/100)</f>
        <v>358.2</v>
      </c>
      <c r="N651" s="0" t="str">
        <f aca="false">VLOOKUP(I651,Customers!$A$2:$D$121,3,FALSE())</f>
        <v>Kolkata</v>
      </c>
      <c r="O651" s="0" t="str">
        <f aca="false">VLOOKUP(I651,Customers!$A$2:$D$121,4,FALSE())</f>
        <v>Retail</v>
      </c>
      <c r="P651" s="0" t="str">
        <f aca="false">TEXT(B651,"yyyy-mm")</f>
        <v>2025-07</v>
      </c>
    </row>
    <row r="652" customFormat="false" ht="15" hidden="false" customHeight="false" outlineLevel="0" collapsed="false">
      <c r="A652" s="0" t="s">
        <v>818</v>
      </c>
      <c r="B652" s="2" t="n">
        <v>45990</v>
      </c>
      <c r="C652" s="3" t="s">
        <v>36</v>
      </c>
      <c r="D652" s="3" t="s">
        <v>48</v>
      </c>
      <c r="E652" s="3" t="s">
        <v>38</v>
      </c>
      <c r="F652" s="0" t="n">
        <v>2</v>
      </c>
      <c r="G652" s="0" t="n">
        <v>199</v>
      </c>
      <c r="H652" s="0" t="n">
        <v>0</v>
      </c>
      <c r="I652" s="3" t="s">
        <v>221</v>
      </c>
      <c r="J652" s="0" t="n">
        <v>4</v>
      </c>
      <c r="K652" s="3" t="s">
        <v>34</v>
      </c>
      <c r="L652" s="0" t="str">
        <f aca="false">VLOOKUP(D652,Products!$A$2:$D$13,2,FALSE())</f>
        <v>Home</v>
      </c>
      <c r="M652" s="3" t="n">
        <f aca="false">F652*G652*(1-H652/100)</f>
        <v>398</v>
      </c>
      <c r="N652" s="0" t="str">
        <f aca="false">VLOOKUP(I652,Customers!$A$2:$D$121,3,FALSE())</f>
        <v>Mumbai</v>
      </c>
      <c r="O652" s="0" t="str">
        <f aca="false">VLOOKUP(I652,Customers!$A$2:$D$121,4,FALSE())</f>
        <v>Retail</v>
      </c>
      <c r="P652" s="0" t="str">
        <f aca="false">TEXT(B652,"yyyy-mm")</f>
        <v>2025-11</v>
      </c>
    </row>
    <row r="653" customFormat="false" ht="15" hidden="false" customHeight="false" outlineLevel="0" collapsed="false">
      <c r="A653" s="0" t="s">
        <v>819</v>
      </c>
      <c r="B653" s="2" t="n">
        <v>45876</v>
      </c>
      <c r="C653" s="3" t="s">
        <v>72</v>
      </c>
      <c r="D653" s="3" t="s">
        <v>32</v>
      </c>
      <c r="E653" s="3" t="s">
        <v>73</v>
      </c>
      <c r="F653" s="0" t="n">
        <v>1</v>
      </c>
      <c r="G653" s="0" t="n">
        <v>249</v>
      </c>
      <c r="H653" s="0" t="n">
        <v>10</v>
      </c>
      <c r="I653" s="3" t="s">
        <v>174</v>
      </c>
      <c r="J653" s="0" t="n">
        <v>4</v>
      </c>
      <c r="K653" s="3" t="s">
        <v>21</v>
      </c>
      <c r="L653" s="0" t="str">
        <f aca="false">VLOOKUP(D653,Products!$A$2:$D$13,2,FALSE())</f>
        <v>Accessories</v>
      </c>
      <c r="M653" s="3" t="n">
        <f aca="false">F653*G653*(1-H653/100)</f>
        <v>224.1</v>
      </c>
      <c r="N653" s="0" t="str">
        <f aca="false">VLOOKUP(I653,Customers!$A$2:$D$121,3,FALSE())</f>
        <v>Lucknow</v>
      </c>
      <c r="O653" s="0" t="str">
        <f aca="false">VLOOKUP(I653,Customers!$A$2:$D$121,4,FALSE())</f>
        <v>Student</v>
      </c>
      <c r="P653" s="0" t="str">
        <f aca="false">TEXT(B653,"yyyy-mm")</f>
        <v>2025-08</v>
      </c>
    </row>
    <row r="654" customFormat="false" ht="15" hidden="false" customHeight="false" outlineLevel="0" collapsed="false">
      <c r="A654" s="0" t="s">
        <v>820</v>
      </c>
      <c r="B654" s="2" t="n">
        <v>45778</v>
      </c>
      <c r="C654" s="3" t="s">
        <v>36</v>
      </c>
      <c r="D654" s="3" t="s">
        <v>48</v>
      </c>
      <c r="E654" s="3" t="s">
        <v>38</v>
      </c>
      <c r="F654" s="0" t="n">
        <v>8</v>
      </c>
      <c r="G654" s="0" t="n">
        <v>199</v>
      </c>
      <c r="H654" s="0" t="n">
        <v>0</v>
      </c>
      <c r="I654" s="3" t="s">
        <v>373</v>
      </c>
      <c r="J654" s="0" t="n">
        <v>3</v>
      </c>
      <c r="K654" s="3" t="s">
        <v>43</v>
      </c>
      <c r="L654" s="0" t="str">
        <f aca="false">VLOOKUP(D654,Products!$A$2:$D$13,2,FALSE())</f>
        <v>Home</v>
      </c>
      <c r="M654" s="3" t="n">
        <f aca="false">F654*G654*(1-H654/100)</f>
        <v>1592</v>
      </c>
      <c r="N654" s="0" t="str">
        <f aca="false">VLOOKUP(I654,Customers!$A$2:$D$121,3,FALSE())</f>
        <v>Bhopal</v>
      </c>
      <c r="O654" s="0" t="str">
        <f aca="false">VLOOKUP(I654,Customers!$A$2:$D$121,4,FALSE())</f>
        <v>Corporate</v>
      </c>
      <c r="P654" s="0" t="str">
        <f aca="false">TEXT(B654,"yyyy-mm")</f>
        <v>2025-05</v>
      </c>
    </row>
    <row r="655" customFormat="false" ht="15" hidden="false" customHeight="false" outlineLevel="0" collapsed="false">
      <c r="A655" s="0" t="s">
        <v>821</v>
      </c>
      <c r="B655" s="2" t="n">
        <v>45881</v>
      </c>
      <c r="C655" s="3" t="s">
        <v>72</v>
      </c>
      <c r="D655" s="3" t="s">
        <v>48</v>
      </c>
      <c r="E655" s="3" t="s">
        <v>73</v>
      </c>
      <c r="F655" s="0" t="n">
        <v>2</v>
      </c>
      <c r="G655" s="0" t="n">
        <v>199</v>
      </c>
      <c r="H655" s="0" t="n">
        <v>0</v>
      </c>
      <c r="I655" s="3" t="s">
        <v>193</v>
      </c>
      <c r="J655" s="0" t="n">
        <v>4</v>
      </c>
      <c r="K655" s="3" t="s">
        <v>34</v>
      </c>
      <c r="L655" s="0" t="str">
        <f aca="false">VLOOKUP(D655,Products!$A$2:$D$13,2,FALSE())</f>
        <v>Home</v>
      </c>
      <c r="M655" s="3" t="n">
        <f aca="false">F655*G655*(1-H655/100)</f>
        <v>398</v>
      </c>
      <c r="N655" s="0" t="str">
        <f aca="false">VLOOKUP(I655,Customers!$A$2:$D$121,3,FALSE())</f>
        <v>Delhi</v>
      </c>
      <c r="O655" s="0" t="str">
        <f aca="false">VLOOKUP(I655,Customers!$A$2:$D$121,4,FALSE())</f>
        <v>Retail</v>
      </c>
      <c r="P655" s="0" t="str">
        <f aca="false">TEXT(B655,"yyyy-mm")</f>
        <v>2025-08</v>
      </c>
    </row>
    <row r="656" customFormat="false" ht="15" hidden="false" customHeight="false" outlineLevel="0" collapsed="false">
      <c r="A656" s="0" t="s">
        <v>822</v>
      </c>
      <c r="B656" s="2" t="n">
        <v>45810</v>
      </c>
      <c r="C656" s="3" t="s">
        <v>51</v>
      </c>
      <c r="D656" s="3" t="s">
        <v>60</v>
      </c>
      <c r="E656" s="3" t="s">
        <v>52</v>
      </c>
      <c r="F656" s="0" t="n">
        <v>1</v>
      </c>
      <c r="G656" s="0" t="n">
        <v>40</v>
      </c>
      <c r="H656" s="0" t="n">
        <v>0</v>
      </c>
      <c r="I656" s="3" t="s">
        <v>264</v>
      </c>
      <c r="J656" s="0" t="n">
        <v>4</v>
      </c>
      <c r="K656" s="3" t="s">
        <v>26</v>
      </c>
      <c r="L656" s="0" t="str">
        <f aca="false">VLOOKUP(D656,Products!$A$2:$D$13,2,FALSE())</f>
        <v>Stationery</v>
      </c>
      <c r="M656" s="3" t="n">
        <f aca="false">F656*G656*(1-H656/100)</f>
        <v>40</v>
      </c>
      <c r="N656" s="0" t="str">
        <f aca="false">VLOOKUP(I656,Customers!$A$2:$D$121,3,FALSE())</f>
        <v>Kolkata</v>
      </c>
      <c r="O656" s="0" t="str">
        <f aca="false">VLOOKUP(I656,Customers!$A$2:$D$121,4,FALSE())</f>
        <v>Student</v>
      </c>
      <c r="P656" s="0" t="str">
        <f aca="false">TEXT(B656,"yyyy-mm")</f>
        <v>2025-06</v>
      </c>
    </row>
    <row r="657" customFormat="false" ht="15" hidden="false" customHeight="false" outlineLevel="0" collapsed="false">
      <c r="A657" s="0" t="s">
        <v>823</v>
      </c>
      <c r="B657" s="2" t="n">
        <v>45914</v>
      </c>
      <c r="C657" s="3" t="s">
        <v>72</v>
      </c>
      <c r="D657" s="3" t="s">
        <v>37</v>
      </c>
      <c r="E657" s="3" t="s">
        <v>73</v>
      </c>
      <c r="F657" s="0" t="n">
        <v>1</v>
      </c>
      <c r="G657" s="0" t="n">
        <v>500</v>
      </c>
      <c r="H657" s="0" t="n">
        <v>15</v>
      </c>
      <c r="I657" s="3" t="s">
        <v>114</v>
      </c>
      <c r="J657" s="0" t="n">
        <v>4</v>
      </c>
      <c r="K657" s="3" t="s">
        <v>21</v>
      </c>
      <c r="L657" s="0" t="str">
        <f aca="false">VLOOKUP(D657,Products!$A$2:$D$13,2,FALSE())</f>
        <v>Electronics</v>
      </c>
      <c r="M657" s="3" t="n">
        <f aca="false">F657*G657*(1-H657/100)</f>
        <v>425</v>
      </c>
      <c r="N657" s="0" t="str">
        <f aca="false">VLOOKUP(I657,Customers!$A$2:$D$121,3,FALSE())</f>
        <v>Lucknow</v>
      </c>
      <c r="O657" s="0" t="str">
        <f aca="false">VLOOKUP(I657,Customers!$A$2:$D$121,4,FALSE())</f>
        <v>Retail</v>
      </c>
      <c r="P657" s="0" t="str">
        <f aca="false">TEXT(B657,"yyyy-mm")</f>
        <v>2025-09</v>
      </c>
    </row>
    <row r="658" customFormat="false" ht="15" hidden="false" customHeight="false" outlineLevel="0" collapsed="false">
      <c r="A658" s="0" t="s">
        <v>824</v>
      </c>
      <c r="B658" s="2" t="n">
        <v>45894</v>
      </c>
      <c r="C658" s="3" t="s">
        <v>23</v>
      </c>
      <c r="D658" s="3" t="s">
        <v>88</v>
      </c>
      <c r="E658" s="3" t="s">
        <v>24</v>
      </c>
      <c r="F658" s="0" t="n">
        <v>1</v>
      </c>
      <c r="G658" s="0" t="n">
        <v>799</v>
      </c>
      <c r="H658" s="0" t="n">
        <v>5</v>
      </c>
      <c r="I658" s="3" t="s">
        <v>261</v>
      </c>
      <c r="J658" s="0" t="n">
        <v>5</v>
      </c>
      <c r="K658" s="3" t="s">
        <v>34</v>
      </c>
      <c r="L658" s="0" t="str">
        <f aca="false">VLOOKUP(D658,Products!$A$2:$D$13,2,FALSE())</f>
        <v>Accessories</v>
      </c>
      <c r="M658" s="3" t="n">
        <f aca="false">F658*G658*(1-H658/100)</f>
        <v>759.05</v>
      </c>
      <c r="N658" s="0" t="str">
        <f aca="false">VLOOKUP(I658,Customers!$A$2:$D$121,3,FALSE())</f>
        <v>Mumbai</v>
      </c>
      <c r="O658" s="0" t="str">
        <f aca="false">VLOOKUP(I658,Customers!$A$2:$D$121,4,FALSE())</f>
        <v>Corporate</v>
      </c>
      <c r="P658" s="0" t="str">
        <f aca="false">TEXT(B658,"yyyy-mm")</f>
        <v>2025-08</v>
      </c>
    </row>
    <row r="659" customFormat="false" ht="15" hidden="false" customHeight="false" outlineLevel="0" collapsed="false">
      <c r="A659" s="0" t="s">
        <v>825</v>
      </c>
      <c r="B659" s="2" t="n">
        <v>46040</v>
      </c>
      <c r="C659" s="3" t="s">
        <v>23</v>
      </c>
      <c r="D659" s="3" t="s">
        <v>88</v>
      </c>
      <c r="E659" s="3" t="s">
        <v>24</v>
      </c>
      <c r="F659" s="0" t="n">
        <v>1</v>
      </c>
      <c r="G659" s="0" t="n">
        <v>799</v>
      </c>
      <c r="H659" s="0" t="n">
        <v>5</v>
      </c>
      <c r="I659" s="3" t="s">
        <v>304</v>
      </c>
      <c r="J659" s="0" t="n">
        <v>5</v>
      </c>
      <c r="K659" s="3" t="s">
        <v>26</v>
      </c>
      <c r="L659" s="0" t="str">
        <f aca="false">VLOOKUP(D659,Products!$A$2:$D$13,2,FALSE())</f>
        <v>Accessories</v>
      </c>
      <c r="M659" s="3" t="n">
        <f aca="false">F659*G659*(1-H659/100)</f>
        <v>759.05</v>
      </c>
      <c r="N659" s="0" t="str">
        <f aca="false">VLOOKUP(I659,Customers!$A$2:$D$121,3,FALSE())</f>
        <v>Delhi</v>
      </c>
      <c r="O659" s="0" t="str">
        <f aca="false">VLOOKUP(I659,Customers!$A$2:$D$121,4,FALSE())</f>
        <v>Retail</v>
      </c>
      <c r="P659" s="0" t="str">
        <f aca="false">TEXT(B659,"yyyy-mm")</f>
        <v>2026-01</v>
      </c>
    </row>
    <row r="660" customFormat="false" ht="15" hidden="false" customHeight="false" outlineLevel="0" collapsed="false">
      <c r="A660" s="0" t="s">
        <v>826</v>
      </c>
      <c r="B660" s="2" t="n">
        <v>45908</v>
      </c>
      <c r="C660" s="3" t="s">
        <v>36</v>
      </c>
      <c r="D660" s="3" t="s">
        <v>41</v>
      </c>
      <c r="E660" s="3" t="s">
        <v>69</v>
      </c>
      <c r="F660" s="0" t="n">
        <v>1</v>
      </c>
      <c r="G660" s="0" t="n">
        <v>399</v>
      </c>
      <c r="H660" s="0" t="n">
        <v>0</v>
      </c>
      <c r="I660" s="3" t="s">
        <v>684</v>
      </c>
      <c r="J660" s="0" t="n">
        <v>3</v>
      </c>
      <c r="K660" s="3" t="s">
        <v>43</v>
      </c>
      <c r="L660" s="0" t="str">
        <f aca="false">VLOOKUP(D660,Products!$A$2:$D$13,2,FALSE())</f>
        <v>Electronics</v>
      </c>
      <c r="M660" s="3" t="n">
        <f aca="false">F660*G660*(1-H660/100)</f>
        <v>399</v>
      </c>
      <c r="N660" s="0" t="str">
        <f aca="false">VLOOKUP(I660,Customers!$A$2:$D$121,3,FALSE())</f>
        <v>Nagpur</v>
      </c>
      <c r="O660" s="0" t="str">
        <f aca="false">VLOOKUP(I660,Customers!$A$2:$D$121,4,FALSE())</f>
        <v>Retail</v>
      </c>
      <c r="P660" s="0" t="str">
        <f aca="false">TEXT(B660,"yyyy-mm")</f>
        <v>2025-09</v>
      </c>
    </row>
    <row r="661" customFormat="false" ht="15" hidden="false" customHeight="false" outlineLevel="0" collapsed="false">
      <c r="A661" s="0" t="s">
        <v>827</v>
      </c>
      <c r="B661" s="2" t="n">
        <v>45933</v>
      </c>
      <c r="C661" s="3" t="s">
        <v>51</v>
      </c>
      <c r="D661" s="3" t="s">
        <v>37</v>
      </c>
      <c r="E661" s="3" t="s">
        <v>83</v>
      </c>
      <c r="F661" s="0" t="n">
        <v>1</v>
      </c>
      <c r="G661" s="0" t="n">
        <v>500</v>
      </c>
      <c r="H661" s="0" t="n">
        <v>15</v>
      </c>
      <c r="I661" s="3" t="s">
        <v>335</v>
      </c>
      <c r="J661" s="0" t="n">
        <v>4</v>
      </c>
      <c r="K661" s="3" t="s">
        <v>43</v>
      </c>
      <c r="L661" s="0" t="str">
        <f aca="false">VLOOKUP(D661,Products!$A$2:$D$13,2,FALSE())</f>
        <v>Electronics</v>
      </c>
      <c r="M661" s="3" t="n">
        <f aca="false">F661*G661*(1-H661/100)</f>
        <v>425</v>
      </c>
      <c r="N661" s="0" t="str">
        <f aca="false">VLOOKUP(I661,Customers!$A$2:$D$121,3,FALSE())</f>
        <v>Bhopal</v>
      </c>
      <c r="O661" s="0" t="str">
        <f aca="false">VLOOKUP(I661,Customers!$A$2:$D$121,4,FALSE())</f>
        <v>Retail</v>
      </c>
      <c r="P661" s="0" t="str">
        <f aca="false">TEXT(B661,"yyyy-mm")</f>
        <v>2025-10</v>
      </c>
    </row>
    <row r="662" customFormat="false" ht="15" hidden="false" customHeight="false" outlineLevel="0" collapsed="false">
      <c r="A662" s="0" t="s">
        <v>828</v>
      </c>
      <c r="B662" s="2" t="n">
        <v>45759</v>
      </c>
      <c r="C662" s="3" t="s">
        <v>36</v>
      </c>
      <c r="D662" s="3" t="s">
        <v>108</v>
      </c>
      <c r="E662" s="3" t="s">
        <v>69</v>
      </c>
      <c r="F662" s="0" t="n">
        <v>1</v>
      </c>
      <c r="G662" s="0" t="n">
        <v>180</v>
      </c>
      <c r="H662" s="0" t="n">
        <v>0</v>
      </c>
      <c r="I662" s="3" t="s">
        <v>42</v>
      </c>
      <c r="J662" s="0" t="n">
        <v>3</v>
      </c>
      <c r="K662" s="3" t="s">
        <v>21</v>
      </c>
      <c r="L662" s="0" t="str">
        <f aca="false">VLOOKUP(D662,Products!$A$2:$D$13,2,FALSE())</f>
        <v>Stationery</v>
      </c>
      <c r="M662" s="3" t="n">
        <f aca="false">F662*G662*(1-H662/100)</f>
        <v>180</v>
      </c>
      <c r="N662" s="0" t="str">
        <f aca="false">VLOOKUP(I662,Customers!$A$2:$D$121,3,FALSE())</f>
        <v>Indore</v>
      </c>
      <c r="O662" s="0" t="str">
        <f aca="false">VLOOKUP(I662,Customers!$A$2:$D$121,4,FALSE())</f>
        <v>Retail</v>
      </c>
      <c r="P662" s="0" t="str">
        <f aca="false">TEXT(B662,"yyyy-mm")</f>
        <v>2025-04</v>
      </c>
    </row>
    <row r="663" customFormat="false" ht="15" hidden="false" customHeight="false" outlineLevel="0" collapsed="false">
      <c r="A663" s="0" t="s">
        <v>829</v>
      </c>
      <c r="B663" s="2" t="n">
        <v>45951</v>
      </c>
      <c r="C663" s="3" t="s">
        <v>36</v>
      </c>
      <c r="D663" s="3" t="s">
        <v>28</v>
      </c>
      <c r="E663" s="3" t="s">
        <v>69</v>
      </c>
      <c r="F663" s="0" t="n">
        <v>1</v>
      </c>
      <c r="G663" s="0" t="n">
        <v>450</v>
      </c>
      <c r="H663" s="0" t="n">
        <v>0</v>
      </c>
      <c r="I663" s="3" t="s">
        <v>98</v>
      </c>
      <c r="J663" s="0" t="n">
        <v>2</v>
      </c>
      <c r="K663" s="3" t="s">
        <v>21</v>
      </c>
      <c r="L663" s="0" t="str">
        <f aca="false">VLOOKUP(D663,Products!$A$2:$D$13,2,FALSE())</f>
        <v>Electronics</v>
      </c>
      <c r="M663" s="3" t="n">
        <f aca="false">F663*G663*(1-H663/100)</f>
        <v>450</v>
      </c>
      <c r="N663" s="0" t="str">
        <f aca="false">VLOOKUP(I663,Customers!$A$2:$D$121,3,FALSE())</f>
        <v>Pune</v>
      </c>
      <c r="O663" s="0" t="str">
        <f aca="false">VLOOKUP(I663,Customers!$A$2:$D$121,4,FALSE())</f>
        <v>Retail</v>
      </c>
      <c r="P663" s="0" t="str">
        <f aca="false">TEXT(B663,"yyyy-mm")</f>
        <v>2025-10</v>
      </c>
    </row>
    <row r="664" customFormat="false" ht="15" hidden="false" customHeight="false" outlineLevel="0" collapsed="false">
      <c r="A664" s="0" t="s">
        <v>830</v>
      </c>
      <c r="B664" s="2" t="n">
        <v>46016</v>
      </c>
      <c r="C664" s="3" t="s">
        <v>51</v>
      </c>
      <c r="D664" s="3" t="s">
        <v>60</v>
      </c>
      <c r="E664" s="3" t="s">
        <v>52</v>
      </c>
      <c r="F664" s="0" t="n">
        <v>4</v>
      </c>
      <c r="G664" s="0" t="n">
        <v>40</v>
      </c>
      <c r="H664" s="0" t="n">
        <v>0</v>
      </c>
      <c r="I664" s="3" t="s">
        <v>39</v>
      </c>
      <c r="J664" s="0" t="n">
        <v>3</v>
      </c>
      <c r="K664" s="3" t="s">
        <v>21</v>
      </c>
      <c r="L664" s="0" t="str">
        <f aca="false">VLOOKUP(D664,Products!$A$2:$D$13,2,FALSE())</f>
        <v>Stationery</v>
      </c>
      <c r="M664" s="3" t="n">
        <f aca="false">F664*G664*(1-H664/100)</f>
        <v>160</v>
      </c>
      <c r="N664" s="0" t="str">
        <f aca="false">VLOOKUP(I664,Customers!$A$2:$D$121,3,FALSE())</f>
        <v>Chennai</v>
      </c>
      <c r="O664" s="0" t="str">
        <f aca="false">VLOOKUP(I664,Customers!$A$2:$D$121,4,FALSE())</f>
        <v>Retail</v>
      </c>
      <c r="P664" s="0" t="str">
        <f aca="false">TEXT(B664,"yyyy-mm")</f>
        <v>2025-12</v>
      </c>
    </row>
    <row r="665" customFormat="false" ht="15" hidden="false" customHeight="false" outlineLevel="0" collapsed="false">
      <c r="A665" s="0" t="s">
        <v>831</v>
      </c>
      <c r="B665" s="2" t="n">
        <v>45906</v>
      </c>
      <c r="C665" s="3" t="s">
        <v>51</v>
      </c>
      <c r="D665" s="3" t="s">
        <v>18</v>
      </c>
      <c r="E665" s="3" t="s">
        <v>83</v>
      </c>
      <c r="F665" s="0" t="n">
        <v>1</v>
      </c>
      <c r="G665" s="0" t="n">
        <v>349</v>
      </c>
      <c r="H665" s="0" t="n">
        <v>0</v>
      </c>
      <c r="I665" s="3" t="s">
        <v>104</v>
      </c>
      <c r="J665" s="0" t="n">
        <v>5</v>
      </c>
      <c r="K665" s="3" t="s">
        <v>26</v>
      </c>
      <c r="L665" s="0" t="str">
        <f aca="false">VLOOKUP(D665,Products!$A$2:$D$13,2,FALSE())</f>
        <v>Home</v>
      </c>
      <c r="M665" s="3" t="n">
        <f aca="false">F665*G665*(1-H665/100)</f>
        <v>349</v>
      </c>
      <c r="N665" s="0" t="str">
        <f aca="false">VLOOKUP(I665,Customers!$A$2:$D$121,3,FALSE())</f>
        <v>Lucknow</v>
      </c>
      <c r="O665" s="0" t="str">
        <f aca="false">VLOOKUP(I665,Customers!$A$2:$D$121,4,FALSE())</f>
        <v>Student</v>
      </c>
      <c r="P665" s="0" t="str">
        <f aca="false">TEXT(B665,"yyyy-mm")</f>
        <v>2025-09</v>
      </c>
    </row>
    <row r="666" customFormat="false" ht="15" hidden="false" customHeight="false" outlineLevel="0" collapsed="false">
      <c r="A666" s="0" t="s">
        <v>832</v>
      </c>
      <c r="B666" s="2" t="n">
        <v>45835</v>
      </c>
      <c r="C666" s="3" t="s">
        <v>23</v>
      </c>
      <c r="D666" s="3" t="s">
        <v>108</v>
      </c>
      <c r="E666" s="3" t="s">
        <v>29</v>
      </c>
      <c r="F666" s="0" t="n">
        <v>2</v>
      </c>
      <c r="G666" s="0" t="n">
        <v>180</v>
      </c>
      <c r="H666" s="0" t="n">
        <v>0</v>
      </c>
      <c r="I666" s="3" t="s">
        <v>145</v>
      </c>
      <c r="J666" s="0" t="n">
        <v>4</v>
      </c>
      <c r="K666" s="3" t="s">
        <v>43</v>
      </c>
      <c r="L666" s="0" t="str">
        <f aca="false">VLOOKUP(D666,Products!$A$2:$D$13,2,FALSE())</f>
        <v>Stationery</v>
      </c>
      <c r="M666" s="3" t="n">
        <f aca="false">F666*G666*(1-H666/100)</f>
        <v>360</v>
      </c>
      <c r="N666" s="0" t="str">
        <f aca="false">VLOOKUP(I666,Customers!$A$2:$D$121,3,FALSE())</f>
        <v>Bhopal</v>
      </c>
      <c r="O666" s="0" t="str">
        <f aca="false">VLOOKUP(I666,Customers!$A$2:$D$121,4,FALSE())</f>
        <v>Student</v>
      </c>
      <c r="P666" s="0" t="str">
        <f aca="false">TEXT(B666,"yyyy-mm")</f>
        <v>2025-06</v>
      </c>
    </row>
    <row r="667" customFormat="false" ht="15" hidden="false" customHeight="false" outlineLevel="0" collapsed="false">
      <c r="A667" s="0" t="s">
        <v>833</v>
      </c>
      <c r="B667" s="2" t="n">
        <v>45887</v>
      </c>
      <c r="C667" s="3" t="s">
        <v>23</v>
      </c>
      <c r="D667" s="3" t="s">
        <v>32</v>
      </c>
      <c r="E667" s="3" t="s">
        <v>24</v>
      </c>
      <c r="F667" s="0" t="n">
        <v>1</v>
      </c>
      <c r="G667" s="0" t="n">
        <v>249</v>
      </c>
      <c r="H667" s="0" t="n">
        <v>10</v>
      </c>
      <c r="I667" s="3" t="s">
        <v>271</v>
      </c>
      <c r="J667" s="0" t="n">
        <v>3</v>
      </c>
      <c r="K667" s="3" t="s">
        <v>43</v>
      </c>
      <c r="L667" s="0" t="str">
        <f aca="false">VLOOKUP(D667,Products!$A$2:$D$13,2,FALSE())</f>
        <v>Accessories</v>
      </c>
      <c r="M667" s="3" t="n">
        <f aca="false">F667*G667*(1-H667/100)</f>
        <v>224.1</v>
      </c>
      <c r="N667" s="0" t="str">
        <f aca="false">VLOOKUP(I667,Customers!$A$2:$D$121,3,FALSE())</f>
        <v>Jaipur</v>
      </c>
      <c r="O667" s="0" t="str">
        <f aca="false">VLOOKUP(I667,Customers!$A$2:$D$121,4,FALSE())</f>
        <v>Retail</v>
      </c>
      <c r="P667" s="0" t="str">
        <f aca="false">TEXT(B667,"yyyy-mm")</f>
        <v>2025-08</v>
      </c>
    </row>
    <row r="668" customFormat="false" ht="15" hidden="false" customHeight="false" outlineLevel="0" collapsed="false">
      <c r="A668" s="0" t="s">
        <v>834</v>
      </c>
      <c r="B668" s="2" t="n">
        <v>45970</v>
      </c>
      <c r="C668" s="3" t="s">
        <v>23</v>
      </c>
      <c r="D668" s="3" t="s">
        <v>18</v>
      </c>
      <c r="E668" s="3" t="s">
        <v>29</v>
      </c>
      <c r="F668" s="0" t="n">
        <v>7</v>
      </c>
      <c r="G668" s="0" t="n">
        <v>349</v>
      </c>
      <c r="H668" s="0" t="n">
        <v>10</v>
      </c>
      <c r="I668" s="3" t="s">
        <v>53</v>
      </c>
      <c r="J668" s="0" t="n">
        <v>4</v>
      </c>
      <c r="K668" s="3" t="s">
        <v>34</v>
      </c>
      <c r="L668" s="0" t="str">
        <f aca="false">VLOOKUP(D668,Products!$A$2:$D$13,2,FALSE())</f>
        <v>Home</v>
      </c>
      <c r="M668" s="3" t="n">
        <f aca="false">F668*G668*(1-H668/100)</f>
        <v>2198.7</v>
      </c>
      <c r="N668" s="0" t="str">
        <f aca="false">VLOOKUP(I668,Customers!$A$2:$D$121,3,FALSE())</f>
        <v>Nagpur</v>
      </c>
      <c r="O668" s="0" t="str">
        <f aca="false">VLOOKUP(I668,Customers!$A$2:$D$121,4,FALSE())</f>
        <v>Retail</v>
      </c>
      <c r="P668" s="0" t="str">
        <f aca="false">TEXT(B668,"yyyy-mm")</f>
        <v>2025-11</v>
      </c>
    </row>
    <row r="669" customFormat="false" ht="15" hidden="false" customHeight="false" outlineLevel="0" collapsed="false">
      <c r="A669" s="0" t="s">
        <v>835</v>
      </c>
      <c r="B669" s="2" t="n">
        <v>45864</v>
      </c>
      <c r="C669" s="3" t="s">
        <v>23</v>
      </c>
      <c r="D669" s="3" t="s">
        <v>32</v>
      </c>
      <c r="E669" s="3" t="s">
        <v>29</v>
      </c>
      <c r="F669" s="0" t="n">
        <v>1</v>
      </c>
      <c r="G669" s="0" t="n">
        <v>249</v>
      </c>
      <c r="H669" s="0" t="n">
        <v>0</v>
      </c>
      <c r="I669" s="3" t="s">
        <v>271</v>
      </c>
      <c r="J669" s="0" t="n">
        <v>3</v>
      </c>
      <c r="K669" s="3" t="s">
        <v>34</v>
      </c>
      <c r="L669" s="0" t="str">
        <f aca="false">VLOOKUP(D669,Products!$A$2:$D$13,2,FALSE())</f>
        <v>Accessories</v>
      </c>
      <c r="M669" s="3" t="n">
        <f aca="false">F669*G669*(1-H669/100)</f>
        <v>249</v>
      </c>
      <c r="N669" s="0" t="str">
        <f aca="false">VLOOKUP(I669,Customers!$A$2:$D$121,3,FALSE())</f>
        <v>Jaipur</v>
      </c>
      <c r="O669" s="0" t="str">
        <f aca="false">VLOOKUP(I669,Customers!$A$2:$D$121,4,FALSE())</f>
        <v>Retail</v>
      </c>
      <c r="P669" s="0" t="str">
        <f aca="false">TEXT(B669,"yyyy-mm")</f>
        <v>2025-07</v>
      </c>
    </row>
    <row r="670" customFormat="false" ht="15" hidden="false" customHeight="false" outlineLevel="0" collapsed="false">
      <c r="A670" s="0" t="s">
        <v>836</v>
      </c>
      <c r="B670" s="2" t="n">
        <v>45753</v>
      </c>
      <c r="C670" s="3" t="s">
        <v>72</v>
      </c>
      <c r="D670" s="3" t="s">
        <v>108</v>
      </c>
      <c r="E670" s="3" t="s">
        <v>89</v>
      </c>
      <c r="F670" s="0" t="n">
        <v>1</v>
      </c>
      <c r="G670" s="0" t="n">
        <v>180</v>
      </c>
      <c r="H670" s="0" t="n">
        <v>0</v>
      </c>
      <c r="I670" s="3" t="s">
        <v>234</v>
      </c>
      <c r="J670" s="0" t="n">
        <v>5</v>
      </c>
      <c r="K670" s="3" t="s">
        <v>34</v>
      </c>
      <c r="L670" s="0" t="str">
        <f aca="false">VLOOKUP(D670,Products!$A$2:$D$13,2,FALSE())</f>
        <v>Stationery</v>
      </c>
      <c r="M670" s="3" t="n">
        <f aca="false">F670*G670*(1-H670/100)</f>
        <v>180</v>
      </c>
      <c r="N670" s="0" t="str">
        <f aca="false">VLOOKUP(I670,Customers!$A$2:$D$121,3,FALSE())</f>
        <v>Indore</v>
      </c>
      <c r="O670" s="0" t="str">
        <f aca="false">VLOOKUP(I670,Customers!$A$2:$D$121,4,FALSE())</f>
        <v>Retail</v>
      </c>
      <c r="P670" s="0" t="str">
        <f aca="false">TEXT(B670,"yyyy-mm")</f>
        <v>2025-04</v>
      </c>
    </row>
    <row r="671" customFormat="false" ht="15" hidden="false" customHeight="false" outlineLevel="0" collapsed="false">
      <c r="A671" s="0" t="s">
        <v>837</v>
      </c>
      <c r="B671" s="2" t="n">
        <v>46021</v>
      </c>
      <c r="C671" s="3" t="s">
        <v>51</v>
      </c>
      <c r="D671" s="3" t="s">
        <v>37</v>
      </c>
      <c r="E671" s="3" t="s">
        <v>83</v>
      </c>
      <c r="F671" s="0" t="n">
        <v>6</v>
      </c>
      <c r="G671" s="0" t="n">
        <v>500</v>
      </c>
      <c r="H671" s="0" t="n">
        <v>0</v>
      </c>
      <c r="I671" s="3" t="s">
        <v>161</v>
      </c>
      <c r="J671" s="0" t="n">
        <v>5</v>
      </c>
      <c r="K671" s="3" t="s">
        <v>34</v>
      </c>
      <c r="L671" s="0" t="str">
        <f aca="false">VLOOKUP(D671,Products!$A$2:$D$13,2,FALSE())</f>
        <v>Electronics</v>
      </c>
      <c r="M671" s="3" t="n">
        <f aca="false">F671*G671*(1-H671/100)</f>
        <v>3000</v>
      </c>
      <c r="N671" s="0" t="str">
        <f aca="false">VLOOKUP(I671,Customers!$A$2:$D$121,3,FALSE())</f>
        <v>Lucknow</v>
      </c>
      <c r="O671" s="0" t="str">
        <f aca="false">VLOOKUP(I671,Customers!$A$2:$D$121,4,FALSE())</f>
        <v>Corporate</v>
      </c>
      <c r="P671" s="0" t="str">
        <f aca="false">TEXT(B671,"yyyy-mm")</f>
        <v>2025-12</v>
      </c>
    </row>
    <row r="672" customFormat="false" ht="15" hidden="false" customHeight="false" outlineLevel="0" collapsed="false">
      <c r="A672" s="0" t="s">
        <v>838</v>
      </c>
      <c r="B672" s="2" t="n">
        <v>45897</v>
      </c>
      <c r="C672" s="3" t="s">
        <v>51</v>
      </c>
      <c r="D672" s="3" t="s">
        <v>60</v>
      </c>
      <c r="E672" s="3" t="s">
        <v>83</v>
      </c>
      <c r="F672" s="0" t="n">
        <v>4</v>
      </c>
      <c r="G672" s="0" t="n">
        <v>40</v>
      </c>
      <c r="H672" s="0" t="n">
        <v>10</v>
      </c>
      <c r="I672" s="3" t="s">
        <v>49</v>
      </c>
      <c r="J672" s="0" t="n">
        <v>5</v>
      </c>
      <c r="K672" s="3" t="s">
        <v>26</v>
      </c>
      <c r="L672" s="0" t="str">
        <f aca="false">VLOOKUP(D672,Products!$A$2:$D$13,2,FALSE())</f>
        <v>Stationery</v>
      </c>
      <c r="M672" s="3" t="n">
        <f aca="false">F672*G672*(1-H672/100)</f>
        <v>144</v>
      </c>
      <c r="N672" s="0" t="str">
        <f aca="false">VLOOKUP(I672,Customers!$A$2:$D$121,3,FALSE())</f>
        <v>Indore</v>
      </c>
      <c r="O672" s="0" t="str">
        <f aca="false">VLOOKUP(I672,Customers!$A$2:$D$121,4,FALSE())</f>
        <v>Student</v>
      </c>
      <c r="P672" s="0" t="str">
        <f aca="false">TEXT(B672,"yyyy-mm")</f>
        <v>2025-08</v>
      </c>
    </row>
    <row r="673" customFormat="false" ht="15" hidden="false" customHeight="false" outlineLevel="0" collapsed="false">
      <c r="A673" s="0" t="s">
        <v>839</v>
      </c>
      <c r="B673" s="2" t="n">
        <v>45971</v>
      </c>
      <c r="C673" s="3" t="s">
        <v>23</v>
      </c>
      <c r="D673" s="3" t="s">
        <v>88</v>
      </c>
      <c r="E673" s="3" t="s">
        <v>29</v>
      </c>
      <c r="F673" s="0" t="n">
        <v>3</v>
      </c>
      <c r="G673" s="0" t="n">
        <v>799</v>
      </c>
      <c r="H673" s="0" t="n">
        <v>5</v>
      </c>
      <c r="I673" s="3" t="s">
        <v>104</v>
      </c>
      <c r="J673" s="0" t="n">
        <v>3</v>
      </c>
      <c r="K673" s="3" t="s">
        <v>43</v>
      </c>
      <c r="L673" s="0" t="str">
        <f aca="false">VLOOKUP(D673,Products!$A$2:$D$13,2,FALSE())</f>
        <v>Accessories</v>
      </c>
      <c r="M673" s="3" t="n">
        <f aca="false">F673*G673*(1-H673/100)</f>
        <v>2277.15</v>
      </c>
      <c r="N673" s="0" t="str">
        <f aca="false">VLOOKUP(I673,Customers!$A$2:$D$121,3,FALSE())</f>
        <v>Lucknow</v>
      </c>
      <c r="O673" s="0" t="str">
        <f aca="false">VLOOKUP(I673,Customers!$A$2:$D$121,4,FALSE())</f>
        <v>Student</v>
      </c>
      <c r="P673" s="0" t="str">
        <f aca="false">TEXT(B673,"yyyy-mm")</f>
        <v>2025-11</v>
      </c>
    </row>
    <row r="674" customFormat="false" ht="15" hidden="false" customHeight="false" outlineLevel="0" collapsed="false">
      <c r="A674" s="0" t="s">
        <v>840</v>
      </c>
      <c r="B674" s="2" t="n">
        <v>45788</v>
      </c>
      <c r="C674" s="3" t="s">
        <v>72</v>
      </c>
      <c r="D674" s="3" t="s">
        <v>28</v>
      </c>
      <c r="E674" s="3" t="s">
        <v>73</v>
      </c>
      <c r="F674" s="0" t="n">
        <v>1</v>
      </c>
      <c r="G674" s="0" t="n">
        <v>450</v>
      </c>
      <c r="H674" s="0" t="n">
        <v>5</v>
      </c>
      <c r="I674" s="3" t="s">
        <v>261</v>
      </c>
      <c r="J674" s="0" t="n">
        <v>3</v>
      </c>
      <c r="K674" s="3" t="s">
        <v>34</v>
      </c>
      <c r="L674" s="0" t="str">
        <f aca="false">VLOOKUP(D674,Products!$A$2:$D$13,2,FALSE())</f>
        <v>Electronics</v>
      </c>
      <c r="M674" s="3" t="n">
        <f aca="false">F674*G674*(1-H674/100)</f>
        <v>427.5</v>
      </c>
      <c r="N674" s="0" t="str">
        <f aca="false">VLOOKUP(I674,Customers!$A$2:$D$121,3,FALSE())</f>
        <v>Mumbai</v>
      </c>
      <c r="O674" s="0" t="str">
        <f aca="false">VLOOKUP(I674,Customers!$A$2:$D$121,4,FALSE())</f>
        <v>Corporate</v>
      </c>
      <c r="P674" s="0" t="str">
        <f aca="false">TEXT(B674,"yyyy-mm")</f>
        <v>2025-05</v>
      </c>
    </row>
    <row r="675" customFormat="false" ht="15" hidden="false" customHeight="false" outlineLevel="0" collapsed="false">
      <c r="A675" s="0" t="s">
        <v>841</v>
      </c>
      <c r="B675" s="2" t="n">
        <v>45885</v>
      </c>
      <c r="C675" s="3" t="s">
        <v>23</v>
      </c>
      <c r="D675" s="3" t="s">
        <v>18</v>
      </c>
      <c r="E675" s="3" t="s">
        <v>24</v>
      </c>
      <c r="F675" s="0" t="n">
        <v>1</v>
      </c>
      <c r="G675" s="0" t="n">
        <v>349</v>
      </c>
      <c r="H675" s="0" t="n">
        <v>5</v>
      </c>
      <c r="I675" s="3" t="s">
        <v>102</v>
      </c>
      <c r="J675" s="0" t="n">
        <v>5</v>
      </c>
      <c r="K675" s="3" t="s">
        <v>26</v>
      </c>
      <c r="L675" s="0" t="str">
        <f aca="false">VLOOKUP(D675,Products!$A$2:$D$13,2,FALSE())</f>
        <v>Home</v>
      </c>
      <c r="M675" s="3" t="n">
        <f aca="false">F675*G675*(1-H675/100)</f>
        <v>331.55</v>
      </c>
      <c r="N675" s="0" t="str">
        <f aca="false">VLOOKUP(I675,Customers!$A$2:$D$121,3,FALSE())</f>
        <v>Jaipur</v>
      </c>
      <c r="O675" s="0" t="str">
        <f aca="false">VLOOKUP(I675,Customers!$A$2:$D$121,4,FALSE())</f>
        <v>Corporate</v>
      </c>
      <c r="P675" s="0" t="str">
        <f aca="false">TEXT(B675,"yyyy-mm")</f>
        <v>2025-08</v>
      </c>
    </row>
    <row r="676" customFormat="false" ht="15" hidden="false" customHeight="false" outlineLevel="0" collapsed="false">
      <c r="A676" s="0" t="s">
        <v>842</v>
      </c>
      <c r="B676" s="2" t="n">
        <v>46074</v>
      </c>
      <c r="C676" s="3" t="s">
        <v>17</v>
      </c>
      <c r="D676" s="3" t="s">
        <v>37</v>
      </c>
      <c r="E676" s="3" t="s">
        <v>93</v>
      </c>
      <c r="F676" s="0" t="n">
        <v>2</v>
      </c>
      <c r="G676" s="0" t="n">
        <v>500</v>
      </c>
      <c r="H676" s="0" t="n">
        <v>5</v>
      </c>
      <c r="I676" s="3" t="s">
        <v>46</v>
      </c>
      <c r="J676" s="0" t="n">
        <v>4</v>
      </c>
      <c r="K676" s="3" t="s">
        <v>26</v>
      </c>
      <c r="L676" s="0" t="str">
        <f aca="false">VLOOKUP(D676,Products!$A$2:$D$13,2,FALSE())</f>
        <v>Electronics</v>
      </c>
      <c r="M676" s="3" t="n">
        <f aca="false">F676*G676*(1-H676/100)</f>
        <v>950</v>
      </c>
      <c r="N676" s="0" t="str">
        <f aca="false">VLOOKUP(I676,Customers!$A$2:$D$121,3,FALSE())</f>
        <v>Indore</v>
      </c>
      <c r="O676" s="0" t="str">
        <f aca="false">VLOOKUP(I676,Customers!$A$2:$D$121,4,FALSE())</f>
        <v>Student</v>
      </c>
      <c r="P676" s="0" t="str">
        <f aca="false">TEXT(B676,"yyyy-mm")</f>
        <v>2026-02</v>
      </c>
    </row>
    <row r="677" customFormat="false" ht="15" hidden="false" customHeight="false" outlineLevel="0" collapsed="false">
      <c r="A677" s="0" t="s">
        <v>843</v>
      </c>
      <c r="B677" s="2" t="n">
        <v>45825</v>
      </c>
      <c r="C677" s="3" t="s">
        <v>17</v>
      </c>
      <c r="D677" s="3" t="s">
        <v>41</v>
      </c>
      <c r="E677" s="3" t="s">
        <v>19</v>
      </c>
      <c r="F677" s="0" t="n">
        <v>5</v>
      </c>
      <c r="G677" s="0" t="n">
        <v>399</v>
      </c>
      <c r="H677" s="0" t="n">
        <v>0</v>
      </c>
      <c r="I677" s="3" t="s">
        <v>286</v>
      </c>
      <c r="J677" s="0" t="n">
        <v>1</v>
      </c>
      <c r="K677" s="3" t="s">
        <v>34</v>
      </c>
      <c r="L677" s="0" t="str">
        <f aca="false">VLOOKUP(D677,Products!$A$2:$D$13,2,FALSE())</f>
        <v>Electronics</v>
      </c>
      <c r="M677" s="3" t="n">
        <f aca="false">F677*G677*(1-H677/100)</f>
        <v>1995</v>
      </c>
      <c r="N677" s="0" t="str">
        <f aca="false">VLOOKUP(I677,Customers!$A$2:$D$121,3,FALSE())</f>
        <v>Pune</v>
      </c>
      <c r="O677" s="0" t="str">
        <f aca="false">VLOOKUP(I677,Customers!$A$2:$D$121,4,FALSE())</f>
        <v>Corporate</v>
      </c>
      <c r="P677" s="0" t="str">
        <f aca="false">TEXT(B677,"yyyy-mm")</f>
        <v>2025-06</v>
      </c>
    </row>
    <row r="678" customFormat="false" ht="15" hidden="false" customHeight="false" outlineLevel="0" collapsed="false">
      <c r="A678" s="0" t="s">
        <v>844</v>
      </c>
      <c r="B678" s="2" t="n">
        <v>45972</v>
      </c>
      <c r="C678" s="3" t="s">
        <v>36</v>
      </c>
      <c r="D678" s="3" t="s">
        <v>37</v>
      </c>
      <c r="E678" s="3" t="s">
        <v>38</v>
      </c>
      <c r="F678" s="0" t="n">
        <v>2</v>
      </c>
      <c r="G678" s="0" t="n">
        <v>500</v>
      </c>
      <c r="H678" s="0" t="n">
        <v>15</v>
      </c>
      <c r="I678" s="3" t="s">
        <v>210</v>
      </c>
      <c r="J678" s="0" t="n">
        <v>3</v>
      </c>
      <c r="K678" s="3" t="s">
        <v>21</v>
      </c>
      <c r="L678" s="0" t="str">
        <f aca="false">VLOOKUP(D678,Products!$A$2:$D$13,2,FALSE())</f>
        <v>Electronics</v>
      </c>
      <c r="M678" s="3" t="n">
        <f aca="false">F678*G678*(1-H678/100)</f>
        <v>850</v>
      </c>
      <c r="N678" s="0" t="str">
        <f aca="false">VLOOKUP(I678,Customers!$A$2:$D$121,3,FALSE())</f>
        <v>Indore</v>
      </c>
      <c r="O678" s="0" t="str">
        <f aca="false">VLOOKUP(I678,Customers!$A$2:$D$121,4,FALSE())</f>
        <v>Student</v>
      </c>
      <c r="P678" s="0" t="str">
        <f aca="false">TEXT(B678,"yyyy-mm")</f>
        <v>2025-11</v>
      </c>
    </row>
    <row r="679" customFormat="false" ht="15" hidden="false" customHeight="false" outlineLevel="0" collapsed="false">
      <c r="A679" s="0" t="s">
        <v>845</v>
      </c>
      <c r="B679" s="2" t="n">
        <v>45923</v>
      </c>
      <c r="C679" s="3" t="s">
        <v>36</v>
      </c>
      <c r="D679" s="3" t="s">
        <v>32</v>
      </c>
      <c r="E679" s="3" t="s">
        <v>69</v>
      </c>
      <c r="F679" s="0" t="n">
        <v>2</v>
      </c>
      <c r="G679" s="0" t="n">
        <v>249</v>
      </c>
      <c r="H679" s="0" t="n">
        <v>5</v>
      </c>
      <c r="I679" s="3" t="s">
        <v>351</v>
      </c>
      <c r="J679" s="0" t="n">
        <v>5</v>
      </c>
      <c r="K679" s="3" t="s">
        <v>34</v>
      </c>
      <c r="L679" s="0" t="str">
        <f aca="false">VLOOKUP(D679,Products!$A$2:$D$13,2,FALSE())</f>
        <v>Accessories</v>
      </c>
      <c r="M679" s="3" t="n">
        <f aca="false">F679*G679*(1-H679/100)</f>
        <v>473.1</v>
      </c>
      <c r="N679" s="0" t="str">
        <f aca="false">VLOOKUP(I679,Customers!$A$2:$D$121,3,FALSE())</f>
        <v>Nagpur</v>
      </c>
      <c r="O679" s="0" t="str">
        <f aca="false">VLOOKUP(I679,Customers!$A$2:$D$121,4,FALSE())</f>
        <v>Student</v>
      </c>
      <c r="P679" s="0" t="str">
        <f aca="false">TEXT(B679,"yyyy-mm")</f>
        <v>2025-09</v>
      </c>
    </row>
    <row r="680" customFormat="false" ht="15" hidden="false" customHeight="false" outlineLevel="0" collapsed="false">
      <c r="A680" s="0" t="s">
        <v>846</v>
      </c>
      <c r="B680" s="2" t="n">
        <v>45917</v>
      </c>
      <c r="C680" s="3" t="s">
        <v>17</v>
      </c>
      <c r="D680" s="3" t="s">
        <v>32</v>
      </c>
      <c r="E680" s="3" t="s">
        <v>19</v>
      </c>
      <c r="F680" s="0" t="n">
        <v>1</v>
      </c>
      <c r="G680" s="0" t="n">
        <v>249</v>
      </c>
      <c r="H680" s="0" t="n">
        <v>0</v>
      </c>
      <c r="I680" s="3" t="s">
        <v>77</v>
      </c>
      <c r="J680" s="0" t="n">
        <v>5</v>
      </c>
      <c r="K680" s="3" t="s">
        <v>21</v>
      </c>
      <c r="L680" s="0" t="str">
        <f aca="false">VLOOKUP(D680,Products!$A$2:$D$13,2,FALSE())</f>
        <v>Accessories</v>
      </c>
      <c r="M680" s="3" t="n">
        <f aca="false">F680*G680*(1-H680/100)</f>
        <v>249</v>
      </c>
      <c r="N680" s="0" t="str">
        <f aca="false">VLOOKUP(I680,Customers!$A$2:$D$121,3,FALSE())</f>
        <v>Chennai</v>
      </c>
      <c r="O680" s="0" t="str">
        <f aca="false">VLOOKUP(I680,Customers!$A$2:$D$121,4,FALSE())</f>
        <v>Student</v>
      </c>
      <c r="P680" s="0" t="str">
        <f aca="false">TEXT(B680,"yyyy-mm")</f>
        <v>2025-09</v>
      </c>
    </row>
    <row r="681" customFormat="false" ht="15" hidden="false" customHeight="false" outlineLevel="0" collapsed="false">
      <c r="A681" s="0" t="s">
        <v>847</v>
      </c>
      <c r="B681" s="2" t="n">
        <v>45784</v>
      </c>
      <c r="C681" s="3" t="s">
        <v>51</v>
      </c>
      <c r="D681" s="3" t="s">
        <v>37</v>
      </c>
      <c r="E681" s="3" t="s">
        <v>83</v>
      </c>
      <c r="F681" s="0" t="n">
        <v>3</v>
      </c>
      <c r="G681" s="0" t="n">
        <v>500</v>
      </c>
      <c r="H681" s="0" t="n">
        <v>10</v>
      </c>
      <c r="I681" s="3" t="s">
        <v>223</v>
      </c>
      <c r="J681" s="0" t="n">
        <v>3</v>
      </c>
      <c r="K681" s="3" t="s">
        <v>43</v>
      </c>
      <c r="L681" s="0" t="str">
        <f aca="false">VLOOKUP(D681,Products!$A$2:$D$13,2,FALSE())</f>
        <v>Electronics</v>
      </c>
      <c r="M681" s="3" t="n">
        <f aca="false">F681*G681*(1-H681/100)</f>
        <v>1350</v>
      </c>
      <c r="N681" s="0" t="str">
        <f aca="false">VLOOKUP(I681,Customers!$A$2:$D$121,3,FALSE())</f>
        <v>Jaipur</v>
      </c>
      <c r="O681" s="0" t="str">
        <f aca="false">VLOOKUP(I681,Customers!$A$2:$D$121,4,FALSE())</f>
        <v>Student</v>
      </c>
      <c r="P681" s="0" t="str">
        <f aca="false">TEXT(B681,"yyyy-mm")</f>
        <v>2025-05</v>
      </c>
    </row>
    <row r="682" customFormat="false" ht="15" hidden="false" customHeight="false" outlineLevel="0" collapsed="false">
      <c r="A682" s="0" t="s">
        <v>848</v>
      </c>
      <c r="B682" s="2" t="n">
        <v>45875</v>
      </c>
      <c r="C682" s="3" t="s">
        <v>17</v>
      </c>
      <c r="D682" s="3" t="s">
        <v>60</v>
      </c>
      <c r="E682" s="3" t="s">
        <v>19</v>
      </c>
      <c r="F682" s="0" t="n">
        <v>1</v>
      </c>
      <c r="G682" s="0" t="n">
        <v>40</v>
      </c>
      <c r="H682" s="0" t="n">
        <v>5</v>
      </c>
      <c r="I682" s="3" t="s">
        <v>84</v>
      </c>
      <c r="J682" s="0" t="n">
        <v>5</v>
      </c>
      <c r="K682" s="3" t="s">
        <v>21</v>
      </c>
      <c r="L682" s="0" t="str">
        <f aca="false">VLOOKUP(D682,Products!$A$2:$D$13,2,FALSE())</f>
        <v>Stationery</v>
      </c>
      <c r="M682" s="3" t="n">
        <f aca="false">F682*G682*(1-H682/100)</f>
        <v>38</v>
      </c>
      <c r="N682" s="0" t="str">
        <f aca="false">VLOOKUP(I682,Customers!$A$2:$D$121,3,FALSE())</f>
        <v>Bhopal</v>
      </c>
      <c r="O682" s="0" t="str">
        <f aca="false">VLOOKUP(I682,Customers!$A$2:$D$121,4,FALSE())</f>
        <v>Student</v>
      </c>
      <c r="P682" s="0" t="str">
        <f aca="false">TEXT(B682,"yyyy-mm")</f>
        <v>2025-08</v>
      </c>
    </row>
    <row r="683" customFormat="false" ht="15" hidden="false" customHeight="false" outlineLevel="0" collapsed="false">
      <c r="A683" s="0" t="s">
        <v>849</v>
      </c>
      <c r="B683" s="2" t="n">
        <v>45796</v>
      </c>
      <c r="C683" s="3" t="s">
        <v>51</v>
      </c>
      <c r="D683" s="3" t="s">
        <v>28</v>
      </c>
      <c r="E683" s="3" t="s">
        <v>83</v>
      </c>
      <c r="F683" s="0" t="n">
        <v>1</v>
      </c>
      <c r="G683" s="0" t="n">
        <v>450</v>
      </c>
      <c r="H683" s="0" t="n">
        <v>10</v>
      </c>
      <c r="I683" s="3" t="s">
        <v>269</v>
      </c>
      <c r="J683" s="0" t="n">
        <v>5</v>
      </c>
      <c r="K683" s="3" t="s">
        <v>43</v>
      </c>
      <c r="L683" s="0" t="str">
        <f aca="false">VLOOKUP(D683,Products!$A$2:$D$13,2,FALSE())</f>
        <v>Electronics</v>
      </c>
      <c r="M683" s="3" t="n">
        <f aca="false">F683*G683*(1-H683/100)</f>
        <v>405</v>
      </c>
      <c r="N683" s="0" t="str">
        <f aca="false">VLOOKUP(I683,Customers!$A$2:$D$121,3,FALSE())</f>
        <v>Mumbai</v>
      </c>
      <c r="O683" s="0" t="str">
        <f aca="false">VLOOKUP(I683,Customers!$A$2:$D$121,4,FALSE())</f>
        <v>Student</v>
      </c>
      <c r="P683" s="0" t="str">
        <f aca="false">TEXT(B683,"yyyy-mm")</f>
        <v>2025-05</v>
      </c>
    </row>
    <row r="684" customFormat="false" ht="15" hidden="false" customHeight="false" outlineLevel="0" collapsed="false">
      <c r="A684" s="0" t="s">
        <v>850</v>
      </c>
      <c r="B684" s="2" t="n">
        <v>45913</v>
      </c>
      <c r="C684" s="3" t="s">
        <v>72</v>
      </c>
      <c r="D684" s="3" t="s">
        <v>18</v>
      </c>
      <c r="E684" s="3" t="s">
        <v>89</v>
      </c>
      <c r="F684" s="0" t="n">
        <v>1</v>
      </c>
      <c r="G684" s="0" t="n">
        <v>349</v>
      </c>
      <c r="H684" s="0" t="n">
        <v>0</v>
      </c>
      <c r="I684" s="3" t="s">
        <v>261</v>
      </c>
      <c r="J684" s="0" t="n">
        <v>4</v>
      </c>
      <c r="K684" s="3" t="s">
        <v>34</v>
      </c>
      <c r="L684" s="0" t="str">
        <f aca="false">VLOOKUP(D684,Products!$A$2:$D$13,2,FALSE())</f>
        <v>Home</v>
      </c>
      <c r="M684" s="3" t="n">
        <f aca="false">F684*G684*(1-H684/100)</f>
        <v>349</v>
      </c>
      <c r="N684" s="0" t="str">
        <f aca="false">VLOOKUP(I684,Customers!$A$2:$D$121,3,FALSE())</f>
        <v>Mumbai</v>
      </c>
      <c r="O684" s="0" t="str">
        <f aca="false">VLOOKUP(I684,Customers!$A$2:$D$121,4,FALSE())</f>
        <v>Corporate</v>
      </c>
      <c r="P684" s="0" t="str">
        <f aca="false">TEXT(B684,"yyyy-mm")</f>
        <v>2025-09</v>
      </c>
    </row>
    <row r="685" customFormat="false" ht="15" hidden="false" customHeight="false" outlineLevel="0" collapsed="false">
      <c r="A685" s="0" t="s">
        <v>851</v>
      </c>
      <c r="B685" s="2" t="n">
        <v>45849</v>
      </c>
      <c r="C685" s="3" t="s">
        <v>72</v>
      </c>
      <c r="D685" s="3" t="s">
        <v>32</v>
      </c>
      <c r="E685" s="3" t="s">
        <v>89</v>
      </c>
      <c r="F685" s="0" t="n">
        <v>2</v>
      </c>
      <c r="G685" s="0" t="n">
        <v>249</v>
      </c>
      <c r="H685" s="0" t="n">
        <v>0</v>
      </c>
      <c r="I685" s="3" t="s">
        <v>231</v>
      </c>
      <c r="J685" s="0" t="n">
        <v>2</v>
      </c>
      <c r="K685" s="3" t="s">
        <v>21</v>
      </c>
      <c r="L685" s="0" t="str">
        <f aca="false">VLOOKUP(D685,Products!$A$2:$D$13,2,FALSE())</f>
        <v>Accessories</v>
      </c>
      <c r="M685" s="3" t="n">
        <f aca="false">F685*G685*(1-H685/100)</f>
        <v>498</v>
      </c>
      <c r="N685" s="0" t="str">
        <f aca="false">VLOOKUP(I685,Customers!$A$2:$D$121,3,FALSE())</f>
        <v>Pune</v>
      </c>
      <c r="O685" s="0" t="str">
        <f aca="false">VLOOKUP(I685,Customers!$A$2:$D$121,4,FALSE())</f>
        <v>Retail</v>
      </c>
      <c r="P685" s="0" t="str">
        <f aca="false">TEXT(B685,"yyyy-mm")</f>
        <v>2025-07</v>
      </c>
    </row>
    <row r="686" customFormat="false" ht="15" hidden="false" customHeight="false" outlineLevel="0" collapsed="false">
      <c r="A686" s="0" t="s">
        <v>852</v>
      </c>
      <c r="B686" s="2" t="n">
        <v>45914</v>
      </c>
      <c r="C686" s="3" t="s">
        <v>51</v>
      </c>
      <c r="D686" s="3" t="s">
        <v>28</v>
      </c>
      <c r="E686" s="3" t="s">
        <v>52</v>
      </c>
      <c r="F686" s="0" t="n">
        <v>1</v>
      </c>
      <c r="G686" s="0" t="n">
        <v>450</v>
      </c>
      <c r="H686" s="0" t="n">
        <v>0</v>
      </c>
      <c r="I686" s="3" t="s">
        <v>695</v>
      </c>
      <c r="J686" s="0" t="n">
        <v>5</v>
      </c>
      <c r="K686" s="3" t="s">
        <v>43</v>
      </c>
      <c r="L686" s="0" t="str">
        <f aca="false">VLOOKUP(D686,Products!$A$2:$D$13,2,FALSE())</f>
        <v>Electronics</v>
      </c>
      <c r="M686" s="3" t="n">
        <f aca="false">F686*G686*(1-H686/100)</f>
        <v>450</v>
      </c>
      <c r="N686" s="0" t="str">
        <f aca="false">VLOOKUP(I686,Customers!$A$2:$D$121,3,FALSE())</f>
        <v>Pune</v>
      </c>
      <c r="O686" s="0" t="str">
        <f aca="false">VLOOKUP(I686,Customers!$A$2:$D$121,4,FALSE())</f>
        <v>Corporate</v>
      </c>
      <c r="P686" s="0" t="str">
        <f aca="false">TEXT(B686,"yyyy-mm")</f>
        <v>2025-09</v>
      </c>
    </row>
    <row r="687" customFormat="false" ht="15" hidden="false" customHeight="false" outlineLevel="0" collapsed="false">
      <c r="A687" s="0" t="s">
        <v>853</v>
      </c>
      <c r="B687" s="2" t="n">
        <v>45769</v>
      </c>
      <c r="C687" s="3" t="s">
        <v>17</v>
      </c>
      <c r="D687" s="3" t="s">
        <v>28</v>
      </c>
      <c r="E687" s="3" t="s">
        <v>19</v>
      </c>
      <c r="F687" s="0" t="n">
        <v>1</v>
      </c>
      <c r="G687" s="0" t="n">
        <v>450</v>
      </c>
      <c r="H687" s="0" t="n">
        <v>10</v>
      </c>
      <c r="I687" s="3" t="s">
        <v>139</v>
      </c>
      <c r="J687" s="0" t="n">
        <v>4</v>
      </c>
      <c r="K687" s="3" t="s">
        <v>34</v>
      </c>
      <c r="L687" s="0" t="str">
        <f aca="false">VLOOKUP(D687,Products!$A$2:$D$13,2,FALSE())</f>
        <v>Electronics</v>
      </c>
      <c r="M687" s="3" t="n">
        <f aca="false">F687*G687*(1-H687/100)</f>
        <v>405</v>
      </c>
      <c r="N687" s="0" t="str">
        <f aca="false">VLOOKUP(I687,Customers!$A$2:$D$121,3,FALSE())</f>
        <v>Mumbai</v>
      </c>
      <c r="O687" s="0" t="str">
        <f aca="false">VLOOKUP(I687,Customers!$A$2:$D$121,4,FALSE())</f>
        <v>Student</v>
      </c>
      <c r="P687" s="0" t="str">
        <f aca="false">TEXT(B687,"yyyy-mm")</f>
        <v>2025-04</v>
      </c>
    </row>
    <row r="688" customFormat="false" ht="15" hidden="false" customHeight="false" outlineLevel="0" collapsed="false">
      <c r="A688" s="0" t="s">
        <v>854</v>
      </c>
      <c r="B688" s="2" t="n">
        <v>45828</v>
      </c>
      <c r="C688" s="3" t="s">
        <v>36</v>
      </c>
      <c r="D688" s="3" t="s">
        <v>45</v>
      </c>
      <c r="E688" s="3" t="s">
        <v>69</v>
      </c>
      <c r="F688" s="0" t="n">
        <v>2</v>
      </c>
      <c r="G688" s="0" t="n">
        <v>30</v>
      </c>
      <c r="H688" s="0" t="n">
        <v>5</v>
      </c>
      <c r="I688" s="3" t="s">
        <v>67</v>
      </c>
      <c r="J688" s="0" t="n">
        <v>4</v>
      </c>
      <c r="K688" s="3" t="s">
        <v>21</v>
      </c>
      <c r="L688" s="0" t="str">
        <f aca="false">VLOOKUP(D688,Products!$A$2:$D$13,2,FALSE())</f>
        <v>Stationery</v>
      </c>
      <c r="M688" s="3" t="n">
        <f aca="false">F688*G688*(1-H688/100)</f>
        <v>57</v>
      </c>
      <c r="N688" s="0" t="str">
        <f aca="false">VLOOKUP(I688,Customers!$A$2:$D$121,3,FALSE())</f>
        <v>Jaipur</v>
      </c>
      <c r="O688" s="0" t="str">
        <f aca="false">VLOOKUP(I688,Customers!$A$2:$D$121,4,FALSE())</f>
        <v>Corporate</v>
      </c>
      <c r="P688" s="0" t="str">
        <f aca="false">TEXT(B688,"yyyy-mm")</f>
        <v>2025-06</v>
      </c>
    </row>
    <row r="689" customFormat="false" ht="15" hidden="false" customHeight="false" outlineLevel="0" collapsed="false">
      <c r="A689" s="0" t="s">
        <v>855</v>
      </c>
      <c r="B689" s="2" t="n">
        <v>46078</v>
      </c>
      <c r="C689" s="3" t="s">
        <v>72</v>
      </c>
      <c r="D689" s="3" t="s">
        <v>60</v>
      </c>
      <c r="E689" s="3" t="s">
        <v>89</v>
      </c>
      <c r="F689" s="0" t="n">
        <v>1</v>
      </c>
      <c r="G689" s="0" t="n">
        <v>40</v>
      </c>
      <c r="H689" s="0" t="n">
        <v>0</v>
      </c>
      <c r="I689" s="3" t="s">
        <v>55</v>
      </c>
      <c r="J689" s="0" t="n">
        <v>4</v>
      </c>
      <c r="K689" s="3" t="s">
        <v>26</v>
      </c>
      <c r="L689" s="0" t="str">
        <f aca="false">VLOOKUP(D689,Products!$A$2:$D$13,2,FALSE())</f>
        <v>Stationery</v>
      </c>
      <c r="M689" s="3" t="n">
        <f aca="false">F689*G689*(1-H689/100)</f>
        <v>40</v>
      </c>
      <c r="N689" s="0" t="str">
        <f aca="false">VLOOKUP(I689,Customers!$A$2:$D$121,3,FALSE())</f>
        <v>Jaipur</v>
      </c>
      <c r="O689" s="0" t="str">
        <f aca="false">VLOOKUP(I689,Customers!$A$2:$D$121,4,FALSE())</f>
        <v>Corporate</v>
      </c>
      <c r="P689" s="0" t="str">
        <f aca="false">TEXT(B689,"yyyy-mm")</f>
        <v>2026-02</v>
      </c>
    </row>
    <row r="690" customFormat="false" ht="15" hidden="false" customHeight="false" outlineLevel="0" collapsed="false">
      <c r="A690" s="0" t="s">
        <v>856</v>
      </c>
      <c r="B690" s="2" t="n">
        <v>45910</v>
      </c>
      <c r="C690" s="3" t="s">
        <v>36</v>
      </c>
      <c r="D690" s="3" t="s">
        <v>32</v>
      </c>
      <c r="E690" s="3" t="s">
        <v>69</v>
      </c>
      <c r="F690" s="0" t="n">
        <v>2</v>
      </c>
      <c r="G690" s="0" t="n">
        <v>249</v>
      </c>
      <c r="H690" s="0" t="n">
        <v>10</v>
      </c>
      <c r="I690" s="3" t="s">
        <v>139</v>
      </c>
      <c r="J690" s="0" t="n">
        <v>4</v>
      </c>
      <c r="K690" s="3" t="s">
        <v>43</v>
      </c>
      <c r="L690" s="0" t="str">
        <f aca="false">VLOOKUP(D690,Products!$A$2:$D$13,2,FALSE())</f>
        <v>Accessories</v>
      </c>
      <c r="M690" s="3" t="n">
        <f aca="false">F690*G690*(1-H690/100)</f>
        <v>448.2</v>
      </c>
      <c r="N690" s="0" t="str">
        <f aca="false">VLOOKUP(I690,Customers!$A$2:$D$121,3,FALSE())</f>
        <v>Mumbai</v>
      </c>
      <c r="O690" s="0" t="str">
        <f aca="false">VLOOKUP(I690,Customers!$A$2:$D$121,4,FALSE())</f>
        <v>Student</v>
      </c>
      <c r="P690" s="0" t="str">
        <f aca="false">TEXT(B690,"yyyy-mm")</f>
        <v>2025-09</v>
      </c>
    </row>
    <row r="691" customFormat="false" ht="15" hidden="false" customHeight="false" outlineLevel="0" collapsed="false">
      <c r="A691" s="0" t="s">
        <v>857</v>
      </c>
      <c r="B691" s="2" t="n">
        <v>45758</v>
      </c>
      <c r="C691" s="3" t="s">
        <v>36</v>
      </c>
      <c r="D691" s="3" t="s">
        <v>48</v>
      </c>
      <c r="E691" s="3" t="s">
        <v>38</v>
      </c>
      <c r="F691" s="0" t="n">
        <v>1</v>
      </c>
      <c r="G691" s="0" t="n">
        <v>199</v>
      </c>
      <c r="H691" s="0" t="n">
        <v>15</v>
      </c>
      <c r="I691" s="3" t="s">
        <v>58</v>
      </c>
      <c r="J691" s="0" t="n">
        <v>4</v>
      </c>
      <c r="K691" s="3" t="s">
        <v>34</v>
      </c>
      <c r="L691" s="0" t="str">
        <f aca="false">VLOOKUP(D691,Products!$A$2:$D$13,2,FALSE())</f>
        <v>Home</v>
      </c>
      <c r="M691" s="3" t="n">
        <f aca="false">F691*G691*(1-H691/100)</f>
        <v>169.15</v>
      </c>
      <c r="N691" s="0" t="str">
        <f aca="false">VLOOKUP(I691,Customers!$A$2:$D$121,3,FALSE())</f>
        <v>Kolkata</v>
      </c>
      <c r="O691" s="0" t="str">
        <f aca="false">VLOOKUP(I691,Customers!$A$2:$D$121,4,FALSE())</f>
        <v>Corporate</v>
      </c>
      <c r="P691" s="0" t="str">
        <f aca="false">TEXT(B691,"yyyy-mm")</f>
        <v>2025-04</v>
      </c>
    </row>
    <row r="692" customFormat="false" ht="15" hidden="false" customHeight="false" outlineLevel="0" collapsed="false">
      <c r="A692" s="0" t="s">
        <v>858</v>
      </c>
      <c r="B692" s="2" t="n">
        <v>46109</v>
      </c>
      <c r="C692" s="3" t="s">
        <v>51</v>
      </c>
      <c r="D692" s="3" t="s">
        <v>60</v>
      </c>
      <c r="E692" s="3" t="s">
        <v>83</v>
      </c>
      <c r="F692" s="0" t="n">
        <v>2</v>
      </c>
      <c r="G692" s="0" t="n">
        <v>40</v>
      </c>
      <c r="H692" s="0" t="n">
        <v>5</v>
      </c>
      <c r="I692" s="3" t="s">
        <v>30</v>
      </c>
      <c r="J692" s="0" t="n">
        <v>3</v>
      </c>
      <c r="K692" s="3" t="s">
        <v>26</v>
      </c>
      <c r="L692" s="0" t="str">
        <f aca="false">VLOOKUP(D692,Products!$A$2:$D$13,2,FALSE())</f>
        <v>Stationery</v>
      </c>
      <c r="M692" s="3" t="n">
        <f aca="false">F692*G692*(1-H692/100)</f>
        <v>76</v>
      </c>
      <c r="N692" s="0" t="str">
        <f aca="false">VLOOKUP(I692,Customers!$A$2:$D$121,3,FALSE())</f>
        <v>Chennai</v>
      </c>
      <c r="O692" s="0" t="str">
        <f aca="false">VLOOKUP(I692,Customers!$A$2:$D$121,4,FALSE())</f>
        <v>Student</v>
      </c>
      <c r="P692" s="0" t="str">
        <f aca="false">TEXT(B692,"yyyy-mm")</f>
        <v>2026-03</v>
      </c>
    </row>
    <row r="693" customFormat="false" ht="15" hidden="false" customHeight="false" outlineLevel="0" collapsed="false">
      <c r="A693" s="0" t="s">
        <v>859</v>
      </c>
      <c r="B693" s="2" t="n">
        <v>46026</v>
      </c>
      <c r="C693" s="3" t="s">
        <v>36</v>
      </c>
      <c r="D693" s="3" t="s">
        <v>116</v>
      </c>
      <c r="E693" s="3" t="s">
        <v>69</v>
      </c>
      <c r="F693" s="0" t="n">
        <v>2</v>
      </c>
      <c r="G693" s="0" t="n">
        <v>699</v>
      </c>
      <c r="H693" s="0" t="n">
        <v>0</v>
      </c>
      <c r="I693" s="3" t="s">
        <v>150</v>
      </c>
      <c r="J693" s="0" t="n">
        <v>5</v>
      </c>
      <c r="K693" s="3" t="s">
        <v>26</v>
      </c>
      <c r="L693" s="0" t="str">
        <f aca="false">VLOOKUP(D693,Products!$A$2:$D$13,2,FALSE())</f>
        <v>Home</v>
      </c>
      <c r="M693" s="3" t="n">
        <f aca="false">F693*G693*(1-H693/100)</f>
        <v>1398</v>
      </c>
      <c r="N693" s="0" t="str">
        <f aca="false">VLOOKUP(I693,Customers!$A$2:$D$121,3,FALSE())</f>
        <v>Indore</v>
      </c>
      <c r="O693" s="0" t="str">
        <f aca="false">VLOOKUP(I693,Customers!$A$2:$D$121,4,FALSE())</f>
        <v>Student</v>
      </c>
      <c r="P693" s="0" t="str">
        <f aca="false">TEXT(B693,"yyyy-mm")</f>
        <v>2026-01</v>
      </c>
    </row>
    <row r="694" customFormat="false" ht="15" hidden="false" customHeight="false" outlineLevel="0" collapsed="false">
      <c r="A694" s="0" t="s">
        <v>860</v>
      </c>
      <c r="B694" s="2" t="n">
        <v>45827</v>
      </c>
      <c r="C694" s="3" t="s">
        <v>23</v>
      </c>
      <c r="D694" s="3" t="s">
        <v>45</v>
      </c>
      <c r="E694" s="3" t="s">
        <v>29</v>
      </c>
      <c r="F694" s="0" t="n">
        <v>1</v>
      </c>
      <c r="G694" s="0" t="n">
        <v>30</v>
      </c>
      <c r="H694" s="0" t="n">
        <v>5</v>
      </c>
      <c r="I694" s="3" t="s">
        <v>246</v>
      </c>
      <c r="J694" s="0" t="n">
        <v>5</v>
      </c>
      <c r="K694" s="3" t="s">
        <v>43</v>
      </c>
      <c r="L694" s="0" t="str">
        <f aca="false">VLOOKUP(D694,Products!$A$2:$D$13,2,FALSE())</f>
        <v>Stationery</v>
      </c>
      <c r="M694" s="3" t="n">
        <f aca="false">F694*G694*(1-H694/100)</f>
        <v>28.5</v>
      </c>
      <c r="N694" s="0" t="str">
        <f aca="false">VLOOKUP(I694,Customers!$A$2:$D$121,3,FALSE())</f>
        <v>Pune</v>
      </c>
      <c r="O694" s="0" t="str">
        <f aca="false">VLOOKUP(I694,Customers!$A$2:$D$121,4,FALSE())</f>
        <v>Student</v>
      </c>
      <c r="P694" s="0" t="str">
        <f aca="false">TEXT(B694,"yyyy-mm")</f>
        <v>2025-06</v>
      </c>
    </row>
    <row r="695" customFormat="false" ht="15" hidden="false" customHeight="false" outlineLevel="0" collapsed="false">
      <c r="A695" s="0" t="s">
        <v>861</v>
      </c>
      <c r="B695" s="2" t="n">
        <v>45942</v>
      </c>
      <c r="C695" s="3" t="s">
        <v>23</v>
      </c>
      <c r="D695" s="3" t="s">
        <v>60</v>
      </c>
      <c r="E695" s="3" t="s">
        <v>29</v>
      </c>
      <c r="F695" s="0" t="n">
        <v>1</v>
      </c>
      <c r="G695" s="0" t="n">
        <v>40</v>
      </c>
      <c r="H695" s="0" t="n">
        <v>15</v>
      </c>
      <c r="I695" s="3" t="s">
        <v>178</v>
      </c>
      <c r="J695" s="0" t="n">
        <v>5</v>
      </c>
      <c r="K695" s="3" t="s">
        <v>26</v>
      </c>
      <c r="L695" s="0" t="str">
        <f aca="false">VLOOKUP(D695,Products!$A$2:$D$13,2,FALSE())</f>
        <v>Stationery</v>
      </c>
      <c r="M695" s="3" t="n">
        <f aca="false">F695*G695*(1-H695/100)</f>
        <v>34</v>
      </c>
      <c r="N695" s="0" t="str">
        <f aca="false">VLOOKUP(I695,Customers!$A$2:$D$121,3,FALSE())</f>
        <v>Nagpur</v>
      </c>
      <c r="O695" s="0" t="str">
        <f aca="false">VLOOKUP(I695,Customers!$A$2:$D$121,4,FALSE())</f>
        <v>Student</v>
      </c>
      <c r="P695" s="0" t="str">
        <f aca="false">TEXT(B695,"yyyy-mm")</f>
        <v>2025-10</v>
      </c>
    </row>
    <row r="696" customFormat="false" ht="15" hidden="false" customHeight="false" outlineLevel="0" collapsed="false">
      <c r="A696" s="0" t="s">
        <v>862</v>
      </c>
      <c r="B696" s="2" t="n">
        <v>46085</v>
      </c>
      <c r="C696" s="3" t="s">
        <v>17</v>
      </c>
      <c r="D696" s="3" t="s">
        <v>41</v>
      </c>
      <c r="E696" s="3" t="s">
        <v>93</v>
      </c>
      <c r="F696" s="0" t="n">
        <v>1</v>
      </c>
      <c r="G696" s="0" t="n">
        <v>399</v>
      </c>
      <c r="H696" s="0" t="n">
        <v>10</v>
      </c>
      <c r="I696" s="3" t="s">
        <v>373</v>
      </c>
      <c r="J696" s="0" t="n">
        <v>4</v>
      </c>
      <c r="K696" s="3" t="s">
        <v>26</v>
      </c>
      <c r="L696" s="0" t="str">
        <f aca="false">VLOOKUP(D696,Products!$A$2:$D$13,2,FALSE())</f>
        <v>Electronics</v>
      </c>
      <c r="M696" s="3" t="n">
        <f aca="false">F696*G696*(1-H696/100)</f>
        <v>359.1</v>
      </c>
      <c r="N696" s="0" t="str">
        <f aca="false">VLOOKUP(I696,Customers!$A$2:$D$121,3,FALSE())</f>
        <v>Bhopal</v>
      </c>
      <c r="O696" s="0" t="str">
        <f aca="false">VLOOKUP(I696,Customers!$A$2:$D$121,4,FALSE())</f>
        <v>Corporate</v>
      </c>
      <c r="P696" s="0" t="str">
        <f aca="false">TEXT(B696,"yyyy-mm")</f>
        <v>2026-03</v>
      </c>
    </row>
    <row r="697" customFormat="false" ht="15" hidden="false" customHeight="false" outlineLevel="0" collapsed="false">
      <c r="A697" s="0" t="s">
        <v>863</v>
      </c>
      <c r="B697" s="2" t="n">
        <v>45913</v>
      </c>
      <c r="C697" s="3" t="s">
        <v>72</v>
      </c>
      <c r="D697" s="3" t="s">
        <v>116</v>
      </c>
      <c r="E697" s="3" t="s">
        <v>89</v>
      </c>
      <c r="F697" s="0" t="n">
        <v>1</v>
      </c>
      <c r="G697" s="0" t="n">
        <v>699</v>
      </c>
      <c r="H697" s="0" t="n">
        <v>5</v>
      </c>
      <c r="I697" s="3" t="s">
        <v>227</v>
      </c>
      <c r="J697" s="0" t="n">
        <v>3</v>
      </c>
      <c r="K697" s="3" t="s">
        <v>21</v>
      </c>
      <c r="L697" s="0" t="str">
        <f aca="false">VLOOKUP(D697,Products!$A$2:$D$13,2,FALSE())</f>
        <v>Home</v>
      </c>
      <c r="M697" s="3" t="n">
        <f aca="false">F697*G697*(1-H697/100)</f>
        <v>664.05</v>
      </c>
      <c r="N697" s="0" t="str">
        <f aca="false">VLOOKUP(I697,Customers!$A$2:$D$121,3,FALSE())</f>
        <v>Kolkata</v>
      </c>
      <c r="O697" s="0" t="str">
        <f aca="false">VLOOKUP(I697,Customers!$A$2:$D$121,4,FALSE())</f>
        <v>Corporate</v>
      </c>
      <c r="P697" s="0" t="str">
        <f aca="false">TEXT(B697,"yyyy-mm")</f>
        <v>2025-09</v>
      </c>
    </row>
    <row r="698" customFormat="false" ht="15" hidden="false" customHeight="false" outlineLevel="0" collapsed="false">
      <c r="A698" s="0" t="s">
        <v>864</v>
      </c>
      <c r="B698" s="2" t="n">
        <v>45839</v>
      </c>
      <c r="C698" s="3" t="s">
        <v>36</v>
      </c>
      <c r="D698" s="3" t="s">
        <v>60</v>
      </c>
      <c r="E698" s="3" t="s">
        <v>38</v>
      </c>
      <c r="F698" s="0" t="n">
        <v>8</v>
      </c>
      <c r="G698" s="0" t="n">
        <v>40</v>
      </c>
      <c r="H698" s="0" t="n">
        <v>0</v>
      </c>
      <c r="I698" s="3" t="s">
        <v>273</v>
      </c>
      <c r="J698" s="0" t="n">
        <v>2</v>
      </c>
      <c r="K698" s="3" t="s">
        <v>21</v>
      </c>
      <c r="L698" s="0" t="str">
        <f aca="false">VLOOKUP(D698,Products!$A$2:$D$13,2,FALSE())</f>
        <v>Stationery</v>
      </c>
      <c r="M698" s="3" t="n">
        <f aca="false">F698*G698*(1-H698/100)</f>
        <v>320</v>
      </c>
      <c r="N698" s="0" t="str">
        <f aca="false">VLOOKUP(I698,Customers!$A$2:$D$121,3,FALSE())</f>
        <v>Jaipur</v>
      </c>
      <c r="O698" s="0" t="str">
        <f aca="false">VLOOKUP(I698,Customers!$A$2:$D$121,4,FALSE())</f>
        <v>Corporate</v>
      </c>
      <c r="P698" s="0" t="str">
        <f aca="false">TEXT(B698,"yyyy-mm")</f>
        <v>2025-07</v>
      </c>
    </row>
    <row r="699" customFormat="false" ht="15" hidden="false" customHeight="false" outlineLevel="0" collapsed="false">
      <c r="A699" s="0" t="s">
        <v>865</v>
      </c>
      <c r="B699" s="2" t="n">
        <v>46076</v>
      </c>
      <c r="C699" s="3" t="s">
        <v>23</v>
      </c>
      <c r="D699" s="3" t="s">
        <v>60</v>
      </c>
      <c r="E699" s="3" t="s">
        <v>29</v>
      </c>
      <c r="F699" s="0" t="n">
        <v>1</v>
      </c>
      <c r="G699" s="0" t="n">
        <v>40</v>
      </c>
      <c r="H699" s="0" t="n">
        <v>5</v>
      </c>
      <c r="I699" s="3" t="s">
        <v>251</v>
      </c>
      <c r="J699" s="0" t="n">
        <v>4</v>
      </c>
      <c r="K699" s="3" t="s">
        <v>21</v>
      </c>
      <c r="L699" s="0" t="str">
        <f aca="false">VLOOKUP(D699,Products!$A$2:$D$13,2,FALSE())</f>
        <v>Stationery</v>
      </c>
      <c r="M699" s="3" t="n">
        <f aca="false">F699*G699*(1-H699/100)</f>
        <v>38</v>
      </c>
      <c r="N699" s="0" t="str">
        <f aca="false">VLOOKUP(I699,Customers!$A$2:$D$121,3,FALSE())</f>
        <v>Indore</v>
      </c>
      <c r="O699" s="0" t="str">
        <f aca="false">VLOOKUP(I699,Customers!$A$2:$D$121,4,FALSE())</f>
        <v>Student</v>
      </c>
      <c r="P699" s="0" t="str">
        <f aca="false">TEXT(B699,"yyyy-mm")</f>
        <v>2026-02</v>
      </c>
    </row>
    <row r="700" customFormat="false" ht="15" hidden="false" customHeight="false" outlineLevel="0" collapsed="false">
      <c r="A700" s="0" t="s">
        <v>866</v>
      </c>
      <c r="B700" s="2" t="n">
        <v>46058</v>
      </c>
      <c r="C700" s="3" t="s">
        <v>36</v>
      </c>
      <c r="D700" s="3" t="s">
        <v>41</v>
      </c>
      <c r="E700" s="3" t="s">
        <v>38</v>
      </c>
      <c r="F700" s="0" t="n">
        <v>3</v>
      </c>
      <c r="G700" s="0" t="n">
        <v>399</v>
      </c>
      <c r="H700" s="0" t="n">
        <v>15</v>
      </c>
      <c r="I700" s="3" t="s">
        <v>225</v>
      </c>
      <c r="J700" s="0" t="n">
        <v>1</v>
      </c>
      <c r="K700" s="3" t="s">
        <v>43</v>
      </c>
      <c r="L700" s="0" t="str">
        <f aca="false">VLOOKUP(D700,Products!$A$2:$D$13,2,FALSE())</f>
        <v>Electronics</v>
      </c>
      <c r="M700" s="3" t="n">
        <f aca="false">F700*G700*(1-H700/100)</f>
        <v>1017.45</v>
      </c>
      <c r="N700" s="0" t="str">
        <f aca="false">VLOOKUP(I700,Customers!$A$2:$D$121,3,FALSE())</f>
        <v>Bhopal</v>
      </c>
      <c r="O700" s="0" t="str">
        <f aca="false">VLOOKUP(I700,Customers!$A$2:$D$121,4,FALSE())</f>
        <v>Retail</v>
      </c>
      <c r="P700" s="0" t="str">
        <f aca="false">TEXT(B700,"yyyy-mm")</f>
        <v>2026-02</v>
      </c>
    </row>
    <row r="701" customFormat="false" ht="15" hidden="false" customHeight="false" outlineLevel="0" collapsed="false">
      <c r="A701" s="0" t="s">
        <v>867</v>
      </c>
      <c r="B701" s="2" t="n">
        <v>46075</v>
      </c>
      <c r="C701" s="3" t="s">
        <v>51</v>
      </c>
      <c r="D701" s="3" t="s">
        <v>45</v>
      </c>
      <c r="E701" s="3" t="s">
        <v>83</v>
      </c>
      <c r="F701" s="0" t="n">
        <v>1</v>
      </c>
      <c r="G701" s="0" t="n">
        <v>30</v>
      </c>
      <c r="H701" s="0" t="n">
        <v>0</v>
      </c>
      <c r="I701" s="3" t="s">
        <v>193</v>
      </c>
      <c r="J701" s="0" t="n">
        <v>4</v>
      </c>
      <c r="K701" s="3" t="s">
        <v>34</v>
      </c>
      <c r="L701" s="0" t="str">
        <f aca="false">VLOOKUP(D701,Products!$A$2:$D$13,2,FALSE())</f>
        <v>Stationery</v>
      </c>
      <c r="M701" s="3" t="n">
        <f aca="false">F701*G701*(1-H701/100)</f>
        <v>30</v>
      </c>
      <c r="N701" s="0" t="str">
        <f aca="false">VLOOKUP(I701,Customers!$A$2:$D$121,3,FALSE())</f>
        <v>Delhi</v>
      </c>
      <c r="O701" s="0" t="str">
        <f aca="false">VLOOKUP(I701,Customers!$A$2:$D$121,4,FALSE())</f>
        <v>Retail</v>
      </c>
      <c r="P701" s="0" t="str">
        <f aca="false">TEXT(B701,"yyyy-mm")</f>
        <v>2026-02</v>
      </c>
    </row>
    <row r="702" customFormat="false" ht="15" hidden="false" customHeight="false" outlineLevel="0" collapsed="false">
      <c r="A702" s="0" t="s">
        <v>868</v>
      </c>
      <c r="B702" s="2" t="n">
        <v>46063</v>
      </c>
      <c r="C702" s="3" t="s">
        <v>17</v>
      </c>
      <c r="D702" s="3" t="s">
        <v>48</v>
      </c>
      <c r="E702" s="3" t="s">
        <v>19</v>
      </c>
      <c r="F702" s="0" t="n">
        <v>2</v>
      </c>
      <c r="G702" s="0" t="n">
        <v>199</v>
      </c>
      <c r="H702" s="0" t="n">
        <v>0</v>
      </c>
      <c r="I702" s="3" t="s">
        <v>165</v>
      </c>
      <c r="J702" s="0" t="n">
        <v>1</v>
      </c>
      <c r="K702" s="3" t="s">
        <v>34</v>
      </c>
      <c r="L702" s="0" t="str">
        <f aca="false">VLOOKUP(D702,Products!$A$2:$D$13,2,FALSE())</f>
        <v>Home</v>
      </c>
      <c r="M702" s="3" t="n">
        <f aca="false">F702*G702*(1-H702/100)</f>
        <v>398</v>
      </c>
      <c r="N702" s="0" t="str">
        <f aca="false">VLOOKUP(I702,Customers!$A$2:$D$121,3,FALSE())</f>
        <v>Mumbai</v>
      </c>
      <c r="O702" s="0" t="str">
        <f aca="false">VLOOKUP(I702,Customers!$A$2:$D$121,4,FALSE())</f>
        <v>Retail</v>
      </c>
      <c r="P702" s="0" t="str">
        <f aca="false">TEXT(B702,"yyyy-mm")</f>
        <v>2026-02</v>
      </c>
    </row>
    <row r="703" customFormat="false" ht="15" hidden="false" customHeight="false" outlineLevel="0" collapsed="false">
      <c r="A703" s="0" t="s">
        <v>869</v>
      </c>
      <c r="B703" s="2" t="n">
        <v>46013</v>
      </c>
      <c r="C703" s="3" t="s">
        <v>36</v>
      </c>
      <c r="D703" s="3" t="s">
        <v>45</v>
      </c>
      <c r="E703" s="3" t="s">
        <v>69</v>
      </c>
      <c r="F703" s="0" t="n">
        <v>3</v>
      </c>
      <c r="G703" s="0" t="n">
        <v>30</v>
      </c>
      <c r="H703" s="0" t="n">
        <v>0</v>
      </c>
      <c r="I703" s="3" t="s">
        <v>98</v>
      </c>
      <c r="J703" s="0" t="n">
        <v>4</v>
      </c>
      <c r="K703" s="3" t="s">
        <v>26</v>
      </c>
      <c r="L703" s="0" t="str">
        <f aca="false">VLOOKUP(D703,Products!$A$2:$D$13,2,FALSE())</f>
        <v>Stationery</v>
      </c>
      <c r="M703" s="3" t="n">
        <f aca="false">F703*G703*(1-H703/100)</f>
        <v>90</v>
      </c>
      <c r="N703" s="0" t="str">
        <f aca="false">VLOOKUP(I703,Customers!$A$2:$D$121,3,FALSE())</f>
        <v>Pune</v>
      </c>
      <c r="O703" s="0" t="str">
        <f aca="false">VLOOKUP(I703,Customers!$A$2:$D$121,4,FALSE())</f>
        <v>Retail</v>
      </c>
      <c r="P703" s="0" t="str">
        <f aca="false">TEXT(B703,"yyyy-mm")</f>
        <v>2025-12</v>
      </c>
    </row>
    <row r="704" customFormat="false" ht="15" hidden="false" customHeight="false" outlineLevel="0" collapsed="false">
      <c r="A704" s="0" t="s">
        <v>870</v>
      </c>
      <c r="B704" s="2" t="n">
        <v>46084</v>
      </c>
      <c r="C704" s="3" t="s">
        <v>23</v>
      </c>
      <c r="D704" s="3" t="s">
        <v>28</v>
      </c>
      <c r="E704" s="3" t="s">
        <v>24</v>
      </c>
      <c r="F704" s="0" t="n">
        <v>2</v>
      </c>
      <c r="G704" s="0" t="n">
        <v>450</v>
      </c>
      <c r="H704" s="0" t="n">
        <v>0</v>
      </c>
      <c r="I704" s="3" t="s">
        <v>276</v>
      </c>
      <c r="J704" s="0" t="n">
        <v>4</v>
      </c>
      <c r="K704" s="3" t="s">
        <v>43</v>
      </c>
      <c r="L704" s="0" t="str">
        <f aca="false">VLOOKUP(D704,Products!$A$2:$D$13,2,FALSE())</f>
        <v>Electronics</v>
      </c>
      <c r="M704" s="3" t="n">
        <f aca="false">F704*G704*(1-H704/100)</f>
        <v>900</v>
      </c>
      <c r="N704" s="0" t="str">
        <f aca="false">VLOOKUP(I704,Customers!$A$2:$D$121,3,FALSE())</f>
        <v>Jaipur</v>
      </c>
      <c r="O704" s="0" t="str">
        <f aca="false">VLOOKUP(I704,Customers!$A$2:$D$121,4,FALSE())</f>
        <v>Retail</v>
      </c>
      <c r="P704" s="0" t="str">
        <f aca="false">TEXT(B704,"yyyy-mm")</f>
        <v>2026-03</v>
      </c>
    </row>
    <row r="705" customFormat="false" ht="15" hidden="false" customHeight="false" outlineLevel="0" collapsed="false">
      <c r="A705" s="0" t="s">
        <v>871</v>
      </c>
      <c r="B705" s="2" t="n">
        <v>46074</v>
      </c>
      <c r="C705" s="3" t="s">
        <v>17</v>
      </c>
      <c r="D705" s="3" t="s">
        <v>48</v>
      </c>
      <c r="E705" s="3" t="s">
        <v>93</v>
      </c>
      <c r="F705" s="0" t="n">
        <v>2</v>
      </c>
      <c r="G705" s="0" t="n">
        <v>199</v>
      </c>
      <c r="H705" s="0" t="n">
        <v>10</v>
      </c>
      <c r="I705" s="3" t="s">
        <v>135</v>
      </c>
      <c r="J705" s="0" t="n">
        <v>4</v>
      </c>
      <c r="K705" s="3" t="s">
        <v>21</v>
      </c>
      <c r="L705" s="0" t="str">
        <f aca="false">VLOOKUP(D705,Products!$A$2:$D$13,2,FALSE())</f>
        <v>Home</v>
      </c>
      <c r="M705" s="3" t="n">
        <f aca="false">F705*G705*(1-H705/100)</f>
        <v>358.2</v>
      </c>
      <c r="N705" s="0" t="str">
        <f aca="false">VLOOKUP(I705,Customers!$A$2:$D$121,3,FALSE())</f>
        <v>Jaipur</v>
      </c>
      <c r="O705" s="0" t="str">
        <f aca="false">VLOOKUP(I705,Customers!$A$2:$D$121,4,FALSE())</f>
        <v>Corporate</v>
      </c>
      <c r="P705" s="0" t="str">
        <f aca="false">TEXT(B705,"yyyy-mm")</f>
        <v>2026-02</v>
      </c>
    </row>
    <row r="706" customFormat="false" ht="15" hidden="false" customHeight="false" outlineLevel="0" collapsed="false">
      <c r="A706" s="0" t="s">
        <v>872</v>
      </c>
      <c r="B706" s="2" t="n">
        <v>46029</v>
      </c>
      <c r="C706" s="3" t="s">
        <v>36</v>
      </c>
      <c r="D706" s="3" t="s">
        <v>108</v>
      </c>
      <c r="E706" s="3" t="s">
        <v>38</v>
      </c>
      <c r="F706" s="0" t="n">
        <v>1</v>
      </c>
      <c r="G706" s="0" t="n">
        <v>180</v>
      </c>
      <c r="H706" s="0" t="n">
        <v>5</v>
      </c>
      <c r="I706" s="3" t="s">
        <v>302</v>
      </c>
      <c r="J706" s="0" t="n">
        <v>4</v>
      </c>
      <c r="K706" s="3" t="s">
        <v>43</v>
      </c>
      <c r="L706" s="0" t="str">
        <f aca="false">VLOOKUP(D706,Products!$A$2:$D$13,2,FALSE())</f>
        <v>Stationery</v>
      </c>
      <c r="M706" s="3" t="n">
        <f aca="false">F706*G706*(1-H706/100)</f>
        <v>171</v>
      </c>
      <c r="N706" s="0" t="str">
        <f aca="false">VLOOKUP(I706,Customers!$A$2:$D$121,3,FALSE())</f>
        <v>Nagpur</v>
      </c>
      <c r="O706" s="0" t="str">
        <f aca="false">VLOOKUP(I706,Customers!$A$2:$D$121,4,FALSE())</f>
        <v>Retail</v>
      </c>
      <c r="P706" s="0" t="str">
        <f aca="false">TEXT(B706,"yyyy-mm")</f>
        <v>2026-01</v>
      </c>
    </row>
    <row r="707" customFormat="false" ht="15" hidden="false" customHeight="false" outlineLevel="0" collapsed="false">
      <c r="A707" s="0" t="s">
        <v>873</v>
      </c>
      <c r="B707" s="2" t="n">
        <v>46029</v>
      </c>
      <c r="C707" s="3" t="s">
        <v>72</v>
      </c>
      <c r="D707" s="3" t="s">
        <v>41</v>
      </c>
      <c r="E707" s="3" t="s">
        <v>73</v>
      </c>
      <c r="F707" s="0" t="n">
        <v>1</v>
      </c>
      <c r="G707" s="0" t="n">
        <v>399</v>
      </c>
      <c r="H707" s="0" t="n">
        <v>0</v>
      </c>
      <c r="I707" s="3" t="s">
        <v>304</v>
      </c>
      <c r="J707" s="0" t="n">
        <v>4</v>
      </c>
      <c r="K707" s="3" t="s">
        <v>34</v>
      </c>
      <c r="L707" s="0" t="str">
        <f aca="false">VLOOKUP(D707,Products!$A$2:$D$13,2,FALSE())</f>
        <v>Electronics</v>
      </c>
      <c r="M707" s="3" t="n">
        <f aca="false">F707*G707*(1-H707/100)</f>
        <v>399</v>
      </c>
      <c r="N707" s="0" t="str">
        <f aca="false">VLOOKUP(I707,Customers!$A$2:$D$121,3,FALSE())</f>
        <v>Delhi</v>
      </c>
      <c r="O707" s="0" t="str">
        <f aca="false">VLOOKUP(I707,Customers!$A$2:$D$121,4,FALSE())</f>
        <v>Retail</v>
      </c>
      <c r="P707" s="0" t="str">
        <f aca="false">TEXT(B707,"yyyy-mm")</f>
        <v>2026-01</v>
      </c>
    </row>
    <row r="708" customFormat="false" ht="15" hidden="false" customHeight="false" outlineLevel="0" collapsed="false">
      <c r="A708" s="0" t="s">
        <v>874</v>
      </c>
      <c r="B708" s="2" t="n">
        <v>46036</v>
      </c>
      <c r="C708" s="3" t="s">
        <v>36</v>
      </c>
      <c r="D708" s="3" t="s">
        <v>116</v>
      </c>
      <c r="E708" s="3" t="s">
        <v>69</v>
      </c>
      <c r="F708" s="0" t="n">
        <v>5</v>
      </c>
      <c r="G708" s="0" t="n">
        <v>699</v>
      </c>
      <c r="H708" s="0" t="n">
        <v>10</v>
      </c>
      <c r="I708" s="3" t="s">
        <v>86</v>
      </c>
      <c r="J708" s="0" t="n">
        <v>4</v>
      </c>
      <c r="K708" s="3" t="s">
        <v>34</v>
      </c>
      <c r="L708" s="0" t="str">
        <f aca="false">VLOOKUP(D708,Products!$A$2:$D$13,2,FALSE())</f>
        <v>Home</v>
      </c>
      <c r="M708" s="3" t="n">
        <f aca="false">F708*G708*(1-H708/100)</f>
        <v>3145.5</v>
      </c>
      <c r="N708" s="0" t="str">
        <f aca="false">VLOOKUP(I708,Customers!$A$2:$D$121,3,FALSE())</f>
        <v>Kolkata</v>
      </c>
      <c r="O708" s="0" t="str">
        <f aca="false">VLOOKUP(I708,Customers!$A$2:$D$121,4,FALSE())</f>
        <v>Student</v>
      </c>
      <c r="P708" s="0" t="str">
        <f aca="false">TEXT(B708,"yyyy-mm")</f>
        <v>2026-01</v>
      </c>
    </row>
    <row r="709" customFormat="false" ht="15" hidden="false" customHeight="false" outlineLevel="0" collapsed="false">
      <c r="A709" s="0" t="s">
        <v>875</v>
      </c>
      <c r="B709" s="2" t="n">
        <v>45951</v>
      </c>
      <c r="C709" s="3" t="s">
        <v>51</v>
      </c>
      <c r="D709" s="3" t="s">
        <v>32</v>
      </c>
      <c r="E709" s="3" t="s">
        <v>83</v>
      </c>
      <c r="F709" s="0" t="n">
        <v>3</v>
      </c>
      <c r="G709" s="0" t="n">
        <v>249</v>
      </c>
      <c r="H709" s="0" t="n">
        <v>0</v>
      </c>
      <c r="I709" s="3" t="s">
        <v>284</v>
      </c>
      <c r="J709" s="0" t="n">
        <v>1</v>
      </c>
      <c r="K709" s="3" t="s">
        <v>21</v>
      </c>
      <c r="L709" s="0" t="str">
        <f aca="false">VLOOKUP(D709,Products!$A$2:$D$13,2,FALSE())</f>
        <v>Accessories</v>
      </c>
      <c r="M709" s="3" t="n">
        <f aca="false">F709*G709*(1-H709/100)</f>
        <v>747</v>
      </c>
      <c r="N709" s="0" t="str">
        <f aca="false">VLOOKUP(I709,Customers!$A$2:$D$121,3,FALSE())</f>
        <v>Jaipur</v>
      </c>
      <c r="O709" s="0" t="str">
        <f aca="false">VLOOKUP(I709,Customers!$A$2:$D$121,4,FALSE())</f>
        <v>Retail</v>
      </c>
      <c r="P709" s="0" t="str">
        <f aca="false">TEXT(B709,"yyyy-mm")</f>
        <v>2025-10</v>
      </c>
    </row>
    <row r="710" customFormat="false" ht="15" hidden="false" customHeight="false" outlineLevel="0" collapsed="false">
      <c r="A710" s="0" t="s">
        <v>876</v>
      </c>
      <c r="B710" s="2" t="n">
        <v>45902</v>
      </c>
      <c r="C710" s="3" t="s">
        <v>36</v>
      </c>
      <c r="D710" s="3" t="s">
        <v>57</v>
      </c>
      <c r="E710" s="3" t="s">
        <v>38</v>
      </c>
      <c r="F710" s="0" t="n">
        <v>6</v>
      </c>
      <c r="G710" s="0" t="n">
        <v>549</v>
      </c>
      <c r="H710" s="0" t="n">
        <v>0</v>
      </c>
      <c r="I710" s="3" t="s">
        <v>217</v>
      </c>
      <c r="J710" s="0" t="n">
        <v>5</v>
      </c>
      <c r="K710" s="3" t="s">
        <v>34</v>
      </c>
      <c r="L710" s="0" t="str">
        <f aca="false">VLOOKUP(D710,Products!$A$2:$D$13,2,FALSE())</f>
        <v>Accessories</v>
      </c>
      <c r="M710" s="3" t="n">
        <f aca="false">F710*G710*(1-H710/100)</f>
        <v>3294</v>
      </c>
      <c r="N710" s="0" t="str">
        <f aca="false">VLOOKUP(I710,Customers!$A$2:$D$121,3,FALSE())</f>
        <v>Nagpur</v>
      </c>
      <c r="O710" s="0" t="str">
        <f aca="false">VLOOKUP(I710,Customers!$A$2:$D$121,4,FALSE())</f>
        <v>Student</v>
      </c>
      <c r="P710" s="0" t="str">
        <f aca="false">TEXT(B710,"yyyy-mm")</f>
        <v>2025-09</v>
      </c>
    </row>
    <row r="711" customFormat="false" ht="15" hidden="false" customHeight="false" outlineLevel="0" collapsed="false">
      <c r="A711" s="0" t="s">
        <v>877</v>
      </c>
      <c r="B711" s="2" t="n">
        <v>46031</v>
      </c>
      <c r="C711" s="3" t="s">
        <v>72</v>
      </c>
      <c r="D711" s="3" t="s">
        <v>60</v>
      </c>
      <c r="E711" s="3" t="s">
        <v>89</v>
      </c>
      <c r="F711" s="0" t="n">
        <v>1</v>
      </c>
      <c r="G711" s="0" t="n">
        <v>40</v>
      </c>
      <c r="H711" s="0" t="n">
        <v>10</v>
      </c>
      <c r="I711" s="3" t="s">
        <v>30</v>
      </c>
      <c r="J711" s="0" t="n">
        <v>4</v>
      </c>
      <c r="K711" s="3" t="s">
        <v>21</v>
      </c>
      <c r="L711" s="0" t="str">
        <f aca="false">VLOOKUP(D711,Products!$A$2:$D$13,2,FALSE())</f>
        <v>Stationery</v>
      </c>
      <c r="M711" s="3" t="n">
        <f aca="false">F711*G711*(1-H711/100)</f>
        <v>36</v>
      </c>
      <c r="N711" s="0" t="str">
        <f aca="false">VLOOKUP(I711,Customers!$A$2:$D$121,3,FALSE())</f>
        <v>Chennai</v>
      </c>
      <c r="O711" s="0" t="str">
        <f aca="false">VLOOKUP(I711,Customers!$A$2:$D$121,4,FALSE())</f>
        <v>Student</v>
      </c>
      <c r="P711" s="0" t="str">
        <f aca="false">TEXT(B711,"yyyy-mm")</f>
        <v>2026-01</v>
      </c>
    </row>
    <row r="712" customFormat="false" ht="15" hidden="false" customHeight="false" outlineLevel="0" collapsed="false">
      <c r="A712" s="0" t="s">
        <v>878</v>
      </c>
      <c r="B712" s="2" t="n">
        <v>45930</v>
      </c>
      <c r="C712" s="3" t="s">
        <v>51</v>
      </c>
      <c r="D712" s="3" t="s">
        <v>60</v>
      </c>
      <c r="E712" s="3" t="s">
        <v>52</v>
      </c>
      <c r="F712" s="0" t="n">
        <v>3</v>
      </c>
      <c r="G712" s="0" t="n">
        <v>40</v>
      </c>
      <c r="H712" s="0" t="n">
        <v>0</v>
      </c>
      <c r="I712" s="3" t="s">
        <v>291</v>
      </c>
      <c r="J712" s="0" t="n">
        <v>3</v>
      </c>
      <c r="K712" s="3" t="s">
        <v>26</v>
      </c>
      <c r="L712" s="0" t="str">
        <f aca="false">VLOOKUP(D712,Products!$A$2:$D$13,2,FALSE())</f>
        <v>Stationery</v>
      </c>
      <c r="M712" s="3" t="n">
        <f aca="false">F712*G712*(1-H712/100)</f>
        <v>120</v>
      </c>
      <c r="N712" s="0" t="str">
        <f aca="false">VLOOKUP(I712,Customers!$A$2:$D$121,3,FALSE())</f>
        <v>Pune</v>
      </c>
      <c r="O712" s="0" t="str">
        <f aca="false">VLOOKUP(I712,Customers!$A$2:$D$121,4,FALSE())</f>
        <v>Retail</v>
      </c>
      <c r="P712" s="0" t="str">
        <f aca="false">TEXT(B712,"yyyy-mm")</f>
        <v>2025-09</v>
      </c>
    </row>
    <row r="713" customFormat="false" ht="15" hidden="false" customHeight="false" outlineLevel="0" collapsed="false">
      <c r="A713" s="0" t="s">
        <v>879</v>
      </c>
      <c r="B713" s="2" t="n">
        <v>45795</v>
      </c>
      <c r="C713" s="3" t="s">
        <v>72</v>
      </c>
      <c r="D713" s="3" t="s">
        <v>37</v>
      </c>
      <c r="E713" s="3" t="s">
        <v>89</v>
      </c>
      <c r="F713" s="0" t="n">
        <v>5</v>
      </c>
      <c r="G713" s="0" t="n">
        <v>500</v>
      </c>
      <c r="H713" s="0" t="n">
        <v>10</v>
      </c>
      <c r="I713" s="3" t="s">
        <v>61</v>
      </c>
      <c r="J713" s="0" t="n">
        <v>4</v>
      </c>
      <c r="K713" s="3" t="s">
        <v>21</v>
      </c>
      <c r="L713" s="0" t="str">
        <f aca="false">VLOOKUP(D713,Products!$A$2:$D$13,2,FALSE())</f>
        <v>Electronics</v>
      </c>
      <c r="M713" s="3" t="n">
        <f aca="false">F713*G713*(1-H713/100)</f>
        <v>2250</v>
      </c>
      <c r="N713" s="0" t="str">
        <f aca="false">VLOOKUP(I713,Customers!$A$2:$D$121,3,FALSE())</f>
        <v>Delhi</v>
      </c>
      <c r="O713" s="0" t="str">
        <f aca="false">VLOOKUP(I713,Customers!$A$2:$D$121,4,FALSE())</f>
        <v>Retail</v>
      </c>
      <c r="P713" s="0" t="str">
        <f aca="false">TEXT(B713,"yyyy-mm")</f>
        <v>2025-05</v>
      </c>
    </row>
    <row r="714" customFormat="false" ht="15" hidden="false" customHeight="false" outlineLevel="0" collapsed="false">
      <c r="A714" s="0" t="s">
        <v>880</v>
      </c>
      <c r="B714" s="2" t="n">
        <v>45995</v>
      </c>
      <c r="C714" s="3" t="s">
        <v>72</v>
      </c>
      <c r="D714" s="3" t="s">
        <v>48</v>
      </c>
      <c r="E714" s="3" t="s">
        <v>89</v>
      </c>
      <c r="F714" s="0" t="n">
        <v>1</v>
      </c>
      <c r="G714" s="0" t="n">
        <v>199</v>
      </c>
      <c r="H714" s="0" t="n">
        <v>0</v>
      </c>
      <c r="I714" s="3" t="s">
        <v>96</v>
      </c>
      <c r="J714" s="0" t="n">
        <v>5</v>
      </c>
      <c r="K714" s="3" t="s">
        <v>34</v>
      </c>
      <c r="L714" s="0" t="str">
        <f aca="false">VLOOKUP(D714,Products!$A$2:$D$13,2,FALSE())</f>
        <v>Home</v>
      </c>
      <c r="M714" s="3" t="n">
        <f aca="false">F714*G714*(1-H714/100)</f>
        <v>199</v>
      </c>
      <c r="N714" s="0" t="str">
        <f aca="false">VLOOKUP(I714,Customers!$A$2:$D$121,3,FALSE())</f>
        <v>Delhi</v>
      </c>
      <c r="O714" s="0" t="str">
        <f aca="false">VLOOKUP(I714,Customers!$A$2:$D$121,4,FALSE())</f>
        <v>Retail</v>
      </c>
      <c r="P714" s="0" t="str">
        <f aca="false">TEXT(B714,"yyyy-mm")</f>
        <v>2025-12</v>
      </c>
    </row>
    <row r="715" customFormat="false" ht="15" hidden="false" customHeight="false" outlineLevel="0" collapsed="false">
      <c r="A715" s="0" t="s">
        <v>881</v>
      </c>
      <c r="B715" s="2" t="n">
        <v>45943</v>
      </c>
      <c r="C715" s="3" t="s">
        <v>23</v>
      </c>
      <c r="D715" s="3" t="s">
        <v>60</v>
      </c>
      <c r="E715" s="3" t="s">
        <v>29</v>
      </c>
      <c r="F715" s="0" t="n">
        <v>1</v>
      </c>
      <c r="G715" s="0" t="n">
        <v>40</v>
      </c>
      <c r="H715" s="0" t="n">
        <v>0</v>
      </c>
      <c r="I715" s="3" t="s">
        <v>337</v>
      </c>
      <c r="J715" s="0" t="n">
        <v>2</v>
      </c>
      <c r="K715" s="3" t="s">
        <v>34</v>
      </c>
      <c r="L715" s="0" t="str">
        <f aca="false">VLOOKUP(D715,Products!$A$2:$D$13,2,FALSE())</f>
        <v>Stationery</v>
      </c>
      <c r="M715" s="3" t="n">
        <f aca="false">F715*G715*(1-H715/100)</f>
        <v>40</v>
      </c>
      <c r="N715" s="0" t="str">
        <f aca="false">VLOOKUP(I715,Customers!$A$2:$D$121,3,FALSE())</f>
        <v>Lucknow</v>
      </c>
      <c r="O715" s="0" t="str">
        <f aca="false">VLOOKUP(I715,Customers!$A$2:$D$121,4,FALSE())</f>
        <v>Student</v>
      </c>
      <c r="P715" s="0" t="str">
        <f aca="false">TEXT(B715,"yyyy-mm")</f>
        <v>2025-10</v>
      </c>
    </row>
    <row r="716" customFormat="false" ht="15" hidden="false" customHeight="false" outlineLevel="0" collapsed="false">
      <c r="A716" s="0" t="s">
        <v>882</v>
      </c>
      <c r="B716" s="2" t="n">
        <v>45809</v>
      </c>
      <c r="C716" s="3" t="s">
        <v>51</v>
      </c>
      <c r="D716" s="3" t="s">
        <v>88</v>
      </c>
      <c r="E716" s="3" t="s">
        <v>52</v>
      </c>
      <c r="F716" s="0" t="n">
        <v>3</v>
      </c>
      <c r="G716" s="0" t="n">
        <v>799</v>
      </c>
      <c r="H716" s="0" t="n">
        <v>0</v>
      </c>
      <c r="I716" s="3" t="s">
        <v>65</v>
      </c>
      <c r="J716" s="0" t="n">
        <v>4</v>
      </c>
      <c r="K716" s="3" t="s">
        <v>43</v>
      </c>
      <c r="L716" s="0" t="str">
        <f aca="false">VLOOKUP(D716,Products!$A$2:$D$13,2,FALSE())</f>
        <v>Accessories</v>
      </c>
      <c r="M716" s="3" t="n">
        <f aca="false">F716*G716*(1-H716/100)</f>
        <v>2397</v>
      </c>
      <c r="N716" s="0" t="str">
        <f aca="false">VLOOKUP(I716,Customers!$A$2:$D$121,3,FALSE())</f>
        <v>Jaipur</v>
      </c>
      <c r="O716" s="0" t="str">
        <f aca="false">VLOOKUP(I716,Customers!$A$2:$D$121,4,FALSE())</f>
        <v>Student</v>
      </c>
      <c r="P716" s="0" t="str">
        <f aca="false">TEXT(B716,"yyyy-mm")</f>
        <v>2025-06</v>
      </c>
    </row>
    <row r="717" customFormat="false" ht="15" hidden="false" customHeight="false" outlineLevel="0" collapsed="false">
      <c r="A717" s="0" t="s">
        <v>883</v>
      </c>
      <c r="B717" s="2" t="n">
        <v>46016</v>
      </c>
      <c r="C717" s="3" t="s">
        <v>72</v>
      </c>
      <c r="D717" s="3" t="s">
        <v>60</v>
      </c>
      <c r="E717" s="3" t="s">
        <v>89</v>
      </c>
      <c r="F717" s="0" t="n">
        <v>2</v>
      </c>
      <c r="G717" s="0" t="n">
        <v>40</v>
      </c>
      <c r="H717" s="0" t="n">
        <v>0</v>
      </c>
      <c r="I717" s="3" t="s">
        <v>239</v>
      </c>
      <c r="J717" s="0" t="n">
        <v>4</v>
      </c>
      <c r="K717" s="3" t="s">
        <v>34</v>
      </c>
      <c r="L717" s="0" t="str">
        <f aca="false">VLOOKUP(D717,Products!$A$2:$D$13,2,FALSE())</f>
        <v>Stationery</v>
      </c>
      <c r="M717" s="3" t="n">
        <f aca="false">F717*G717*(1-H717/100)</f>
        <v>80</v>
      </c>
      <c r="N717" s="0" t="str">
        <f aca="false">VLOOKUP(I717,Customers!$A$2:$D$121,3,FALSE())</f>
        <v>Lucknow</v>
      </c>
      <c r="O717" s="0" t="str">
        <f aca="false">VLOOKUP(I717,Customers!$A$2:$D$121,4,FALSE())</f>
        <v>Retail</v>
      </c>
      <c r="P717" s="0" t="str">
        <f aca="false">TEXT(B717,"yyyy-mm")</f>
        <v>2025-12</v>
      </c>
    </row>
    <row r="718" customFormat="false" ht="15" hidden="false" customHeight="false" outlineLevel="0" collapsed="false">
      <c r="A718" s="0" t="s">
        <v>884</v>
      </c>
      <c r="B718" s="2" t="n">
        <v>45826</v>
      </c>
      <c r="C718" s="3" t="s">
        <v>36</v>
      </c>
      <c r="D718" s="3" t="s">
        <v>57</v>
      </c>
      <c r="E718" s="3" t="s">
        <v>69</v>
      </c>
      <c r="F718" s="0" t="n">
        <v>4</v>
      </c>
      <c r="G718" s="0" t="n">
        <v>549</v>
      </c>
      <c r="H718" s="0" t="n">
        <v>0</v>
      </c>
      <c r="I718" s="3" t="s">
        <v>152</v>
      </c>
      <c r="J718" s="0" t="n">
        <v>5</v>
      </c>
      <c r="K718" s="3" t="s">
        <v>43</v>
      </c>
      <c r="L718" s="0" t="str">
        <f aca="false">VLOOKUP(D718,Products!$A$2:$D$13,2,FALSE())</f>
        <v>Accessories</v>
      </c>
      <c r="M718" s="3" t="n">
        <f aca="false">F718*G718*(1-H718/100)</f>
        <v>2196</v>
      </c>
      <c r="N718" s="0" t="str">
        <f aca="false">VLOOKUP(I718,Customers!$A$2:$D$121,3,FALSE())</f>
        <v>Bhopal</v>
      </c>
      <c r="O718" s="0" t="str">
        <f aca="false">VLOOKUP(I718,Customers!$A$2:$D$121,4,FALSE())</f>
        <v>Corporate</v>
      </c>
      <c r="P718" s="0" t="str">
        <f aca="false">TEXT(B718,"yyyy-mm")</f>
        <v>2025-06</v>
      </c>
    </row>
    <row r="719" customFormat="false" ht="15" hidden="false" customHeight="false" outlineLevel="0" collapsed="false">
      <c r="A719" s="0" t="s">
        <v>885</v>
      </c>
      <c r="B719" s="2" t="n">
        <v>46006</v>
      </c>
      <c r="C719" s="3" t="s">
        <v>23</v>
      </c>
      <c r="D719" s="3" t="s">
        <v>116</v>
      </c>
      <c r="E719" s="3" t="s">
        <v>29</v>
      </c>
      <c r="F719" s="0" t="n">
        <v>1</v>
      </c>
      <c r="G719" s="0" t="n">
        <v>699</v>
      </c>
      <c r="H719" s="0" t="n">
        <v>0</v>
      </c>
      <c r="I719" s="3" t="s">
        <v>203</v>
      </c>
      <c r="J719" s="0" t="n">
        <v>4</v>
      </c>
      <c r="K719" s="3" t="s">
        <v>26</v>
      </c>
      <c r="L719" s="0" t="str">
        <f aca="false">VLOOKUP(D719,Products!$A$2:$D$13,2,FALSE())</f>
        <v>Home</v>
      </c>
      <c r="M719" s="3" t="n">
        <f aca="false">F719*G719*(1-H719/100)</f>
        <v>699</v>
      </c>
      <c r="N719" s="0" t="str">
        <f aca="false">VLOOKUP(I719,Customers!$A$2:$D$121,3,FALSE())</f>
        <v>Jaipur</v>
      </c>
      <c r="O719" s="0" t="str">
        <f aca="false">VLOOKUP(I719,Customers!$A$2:$D$121,4,FALSE())</f>
        <v>Corporate</v>
      </c>
      <c r="P719" s="0" t="str">
        <f aca="false">TEXT(B719,"yyyy-mm")</f>
        <v>2025-12</v>
      </c>
    </row>
    <row r="720" customFormat="false" ht="15" hidden="false" customHeight="false" outlineLevel="0" collapsed="false">
      <c r="A720" s="0" t="s">
        <v>886</v>
      </c>
      <c r="B720" s="2" t="n">
        <v>45790</v>
      </c>
      <c r="C720" s="3" t="s">
        <v>72</v>
      </c>
      <c r="D720" s="3" t="s">
        <v>108</v>
      </c>
      <c r="E720" s="3" t="s">
        <v>73</v>
      </c>
      <c r="F720" s="0" t="n">
        <v>3</v>
      </c>
      <c r="G720" s="0" t="n">
        <v>180</v>
      </c>
      <c r="H720" s="0" t="n">
        <v>5</v>
      </c>
      <c r="I720" s="3" t="s">
        <v>254</v>
      </c>
      <c r="J720" s="0" t="n">
        <v>5</v>
      </c>
      <c r="K720" s="3" t="s">
        <v>34</v>
      </c>
      <c r="L720" s="0" t="str">
        <f aca="false">VLOOKUP(D720,Products!$A$2:$D$13,2,FALSE())</f>
        <v>Stationery</v>
      </c>
      <c r="M720" s="3" t="n">
        <f aca="false">F720*G720*(1-H720/100)</f>
        <v>513</v>
      </c>
      <c r="N720" s="0" t="str">
        <f aca="false">VLOOKUP(I720,Customers!$A$2:$D$121,3,FALSE())</f>
        <v>Pune</v>
      </c>
      <c r="O720" s="0" t="str">
        <f aca="false">VLOOKUP(I720,Customers!$A$2:$D$121,4,FALSE())</f>
        <v>Student</v>
      </c>
      <c r="P720" s="0" t="str">
        <f aca="false">TEXT(B720,"yyyy-mm")</f>
        <v>2025-05</v>
      </c>
    </row>
    <row r="721" customFormat="false" ht="15" hidden="false" customHeight="false" outlineLevel="0" collapsed="false">
      <c r="A721" s="0" t="s">
        <v>887</v>
      </c>
      <c r="B721" s="2" t="n">
        <v>45997</v>
      </c>
      <c r="C721" s="3" t="s">
        <v>36</v>
      </c>
      <c r="D721" s="3" t="s">
        <v>57</v>
      </c>
      <c r="E721" s="3" t="s">
        <v>38</v>
      </c>
      <c r="F721" s="0" t="n">
        <v>1</v>
      </c>
      <c r="G721" s="0" t="n">
        <v>549</v>
      </c>
      <c r="H721" s="0" t="n">
        <v>5</v>
      </c>
      <c r="I721" s="3" t="s">
        <v>684</v>
      </c>
      <c r="J721" s="0" t="n">
        <v>4</v>
      </c>
      <c r="K721" s="3" t="s">
        <v>26</v>
      </c>
      <c r="L721" s="0" t="str">
        <f aca="false">VLOOKUP(D721,Products!$A$2:$D$13,2,FALSE())</f>
        <v>Accessories</v>
      </c>
      <c r="M721" s="3" t="n">
        <f aca="false">F721*G721*(1-H721/100)</f>
        <v>521.55</v>
      </c>
      <c r="N721" s="0" t="str">
        <f aca="false">VLOOKUP(I721,Customers!$A$2:$D$121,3,FALSE())</f>
        <v>Nagpur</v>
      </c>
      <c r="O721" s="0" t="str">
        <f aca="false">VLOOKUP(I721,Customers!$A$2:$D$121,4,FALSE())</f>
        <v>Retail</v>
      </c>
      <c r="P721" s="0" t="str">
        <f aca="false">TEXT(B721,"yyyy-mm")</f>
        <v>2025-12</v>
      </c>
    </row>
    <row r="722" customFormat="false" ht="15" hidden="false" customHeight="false" outlineLevel="0" collapsed="false">
      <c r="A722" s="0" t="s">
        <v>888</v>
      </c>
      <c r="B722" s="2" t="n">
        <v>45968</v>
      </c>
      <c r="C722" s="3" t="s">
        <v>72</v>
      </c>
      <c r="D722" s="3" t="s">
        <v>45</v>
      </c>
      <c r="E722" s="3" t="s">
        <v>89</v>
      </c>
      <c r="F722" s="0" t="n">
        <v>1</v>
      </c>
      <c r="G722" s="0" t="n">
        <v>30</v>
      </c>
      <c r="H722" s="0" t="n">
        <v>0</v>
      </c>
      <c r="I722" s="3" t="s">
        <v>74</v>
      </c>
      <c r="J722" s="0" t="n">
        <v>5</v>
      </c>
      <c r="K722" s="3" t="s">
        <v>21</v>
      </c>
      <c r="L722" s="0" t="str">
        <f aca="false">VLOOKUP(D722,Products!$A$2:$D$13,2,FALSE())</f>
        <v>Stationery</v>
      </c>
      <c r="M722" s="3" t="n">
        <f aca="false">F722*G722*(1-H722/100)</f>
        <v>30</v>
      </c>
      <c r="N722" s="0" t="str">
        <f aca="false">VLOOKUP(I722,Customers!$A$2:$D$121,3,FALSE())</f>
        <v>Lucknow</v>
      </c>
      <c r="O722" s="0" t="str">
        <f aca="false">VLOOKUP(I722,Customers!$A$2:$D$121,4,FALSE())</f>
        <v>Retail</v>
      </c>
      <c r="P722" s="0" t="str">
        <f aca="false">TEXT(B722,"yyyy-mm")</f>
        <v>2025-11</v>
      </c>
    </row>
    <row r="723" customFormat="false" ht="15" hidden="false" customHeight="false" outlineLevel="0" collapsed="false">
      <c r="A723" s="0" t="s">
        <v>889</v>
      </c>
      <c r="B723" s="2" t="n">
        <v>45964</v>
      </c>
      <c r="C723" s="3" t="s">
        <v>51</v>
      </c>
      <c r="D723" s="3" t="s">
        <v>18</v>
      </c>
      <c r="E723" s="3" t="s">
        <v>83</v>
      </c>
      <c r="F723" s="0" t="n">
        <v>3</v>
      </c>
      <c r="G723" s="0" t="n">
        <v>349</v>
      </c>
      <c r="H723" s="0" t="n">
        <v>0</v>
      </c>
      <c r="I723" s="3" t="s">
        <v>141</v>
      </c>
      <c r="J723" s="0" t="n">
        <v>3</v>
      </c>
      <c r="K723" s="3" t="s">
        <v>21</v>
      </c>
      <c r="L723" s="0" t="str">
        <f aca="false">VLOOKUP(D723,Products!$A$2:$D$13,2,FALSE())</f>
        <v>Home</v>
      </c>
      <c r="M723" s="3" t="n">
        <f aca="false">F723*G723*(1-H723/100)</f>
        <v>1047</v>
      </c>
      <c r="N723" s="0" t="str">
        <f aca="false">VLOOKUP(I723,Customers!$A$2:$D$121,3,FALSE())</f>
        <v>Bhopal</v>
      </c>
      <c r="O723" s="0" t="str">
        <f aca="false">VLOOKUP(I723,Customers!$A$2:$D$121,4,FALSE())</f>
        <v>Student</v>
      </c>
      <c r="P723" s="0" t="str">
        <f aca="false">TEXT(B723,"yyyy-mm")</f>
        <v>2025-11</v>
      </c>
    </row>
    <row r="724" customFormat="false" ht="15" hidden="false" customHeight="false" outlineLevel="0" collapsed="false">
      <c r="A724" s="0" t="s">
        <v>890</v>
      </c>
      <c r="B724" s="2" t="n">
        <v>45927</v>
      </c>
      <c r="C724" s="3" t="s">
        <v>36</v>
      </c>
      <c r="D724" s="3" t="s">
        <v>37</v>
      </c>
      <c r="E724" s="3" t="s">
        <v>69</v>
      </c>
      <c r="F724" s="0" t="n">
        <v>2</v>
      </c>
      <c r="G724" s="0" t="n">
        <v>500</v>
      </c>
      <c r="H724" s="0" t="n">
        <v>10</v>
      </c>
      <c r="I724" s="3" t="s">
        <v>426</v>
      </c>
      <c r="J724" s="0" t="n">
        <v>5</v>
      </c>
      <c r="K724" s="3" t="s">
        <v>26</v>
      </c>
      <c r="L724" s="0" t="str">
        <f aca="false">VLOOKUP(D724,Products!$A$2:$D$13,2,FALSE())</f>
        <v>Electronics</v>
      </c>
      <c r="M724" s="3" t="n">
        <f aca="false">F724*G724*(1-H724/100)</f>
        <v>900</v>
      </c>
      <c r="N724" s="0" t="str">
        <f aca="false">VLOOKUP(I724,Customers!$A$2:$D$121,3,FALSE())</f>
        <v>Bhopal</v>
      </c>
      <c r="O724" s="0" t="str">
        <f aca="false">VLOOKUP(I724,Customers!$A$2:$D$121,4,FALSE())</f>
        <v>Corporate</v>
      </c>
      <c r="P724" s="0" t="str">
        <f aca="false">TEXT(B724,"yyyy-mm")</f>
        <v>2025-09</v>
      </c>
    </row>
    <row r="725" customFormat="false" ht="15" hidden="false" customHeight="false" outlineLevel="0" collapsed="false">
      <c r="A725" s="0" t="s">
        <v>891</v>
      </c>
      <c r="B725" s="2" t="n">
        <v>45867</v>
      </c>
      <c r="C725" s="3" t="s">
        <v>17</v>
      </c>
      <c r="D725" s="3" t="s">
        <v>32</v>
      </c>
      <c r="E725" s="3" t="s">
        <v>19</v>
      </c>
      <c r="F725" s="0" t="n">
        <v>2</v>
      </c>
      <c r="G725" s="0" t="n">
        <v>249</v>
      </c>
      <c r="H725" s="0" t="n">
        <v>0</v>
      </c>
      <c r="I725" s="3" t="s">
        <v>74</v>
      </c>
      <c r="J725" s="0" t="n">
        <v>4</v>
      </c>
      <c r="K725" s="3" t="s">
        <v>21</v>
      </c>
      <c r="L725" s="0" t="str">
        <f aca="false">VLOOKUP(D725,Products!$A$2:$D$13,2,FALSE())</f>
        <v>Accessories</v>
      </c>
      <c r="M725" s="3" t="n">
        <f aca="false">F725*G725*(1-H725/100)</f>
        <v>498</v>
      </c>
      <c r="N725" s="0" t="str">
        <f aca="false">VLOOKUP(I725,Customers!$A$2:$D$121,3,FALSE())</f>
        <v>Lucknow</v>
      </c>
      <c r="O725" s="0" t="str">
        <f aca="false">VLOOKUP(I725,Customers!$A$2:$D$121,4,FALSE())</f>
        <v>Retail</v>
      </c>
      <c r="P725" s="0" t="str">
        <f aca="false">TEXT(B725,"yyyy-mm")</f>
        <v>2025-07</v>
      </c>
    </row>
    <row r="726" customFormat="false" ht="15" hidden="false" customHeight="false" outlineLevel="0" collapsed="false">
      <c r="A726" s="0" t="s">
        <v>892</v>
      </c>
      <c r="B726" s="2" t="n">
        <v>45872</v>
      </c>
      <c r="C726" s="3" t="s">
        <v>17</v>
      </c>
      <c r="D726" s="3" t="s">
        <v>48</v>
      </c>
      <c r="E726" s="3" t="s">
        <v>93</v>
      </c>
      <c r="F726" s="0" t="n">
        <v>1</v>
      </c>
      <c r="G726" s="0" t="n">
        <v>199</v>
      </c>
      <c r="H726" s="0" t="n">
        <v>10</v>
      </c>
      <c r="I726" s="3" t="s">
        <v>110</v>
      </c>
      <c r="J726" s="0" t="n">
        <v>3</v>
      </c>
      <c r="K726" s="3" t="s">
        <v>21</v>
      </c>
      <c r="L726" s="0" t="str">
        <f aca="false">VLOOKUP(D726,Products!$A$2:$D$13,2,FALSE())</f>
        <v>Home</v>
      </c>
      <c r="M726" s="3" t="n">
        <f aca="false">F726*G726*(1-H726/100)</f>
        <v>179.1</v>
      </c>
      <c r="N726" s="0" t="str">
        <f aca="false">VLOOKUP(I726,Customers!$A$2:$D$121,3,FALSE())</f>
        <v>Pune</v>
      </c>
      <c r="O726" s="0" t="str">
        <f aca="false">VLOOKUP(I726,Customers!$A$2:$D$121,4,FALSE())</f>
        <v>Retail</v>
      </c>
      <c r="P726" s="0" t="str">
        <f aca="false">TEXT(B726,"yyyy-mm")</f>
        <v>2025-08</v>
      </c>
    </row>
    <row r="727" customFormat="false" ht="15" hidden="false" customHeight="false" outlineLevel="0" collapsed="false">
      <c r="A727" s="0" t="s">
        <v>893</v>
      </c>
      <c r="B727" s="2" t="n">
        <v>45904</v>
      </c>
      <c r="C727" s="3" t="s">
        <v>17</v>
      </c>
      <c r="D727" s="3" t="s">
        <v>41</v>
      </c>
      <c r="E727" s="3" t="s">
        <v>19</v>
      </c>
      <c r="F727" s="0" t="n">
        <v>4</v>
      </c>
      <c r="G727" s="0" t="n">
        <v>399</v>
      </c>
      <c r="H727" s="0" t="n">
        <v>5</v>
      </c>
      <c r="I727" s="3" t="s">
        <v>223</v>
      </c>
      <c r="J727" s="0" t="n">
        <v>1</v>
      </c>
      <c r="K727" s="3" t="s">
        <v>26</v>
      </c>
      <c r="L727" s="0" t="str">
        <f aca="false">VLOOKUP(D727,Products!$A$2:$D$13,2,FALSE())</f>
        <v>Electronics</v>
      </c>
      <c r="M727" s="3" t="n">
        <f aca="false">F727*G727*(1-H727/100)</f>
        <v>1516.2</v>
      </c>
      <c r="N727" s="0" t="str">
        <f aca="false">VLOOKUP(I727,Customers!$A$2:$D$121,3,FALSE())</f>
        <v>Jaipur</v>
      </c>
      <c r="O727" s="0" t="str">
        <f aca="false">VLOOKUP(I727,Customers!$A$2:$D$121,4,FALSE())</f>
        <v>Student</v>
      </c>
      <c r="P727" s="0" t="str">
        <f aca="false">TEXT(B727,"yyyy-mm")</f>
        <v>2025-09</v>
      </c>
    </row>
    <row r="728" customFormat="false" ht="15" hidden="false" customHeight="false" outlineLevel="0" collapsed="false">
      <c r="A728" s="0" t="s">
        <v>894</v>
      </c>
      <c r="B728" s="2" t="n">
        <v>46015</v>
      </c>
      <c r="C728" s="3" t="s">
        <v>23</v>
      </c>
      <c r="D728" s="3" t="s">
        <v>28</v>
      </c>
      <c r="E728" s="3" t="s">
        <v>24</v>
      </c>
      <c r="F728" s="0" t="n">
        <v>1</v>
      </c>
      <c r="G728" s="0" t="n">
        <v>450</v>
      </c>
      <c r="H728" s="0" t="n">
        <v>0</v>
      </c>
      <c r="I728" s="3" t="s">
        <v>205</v>
      </c>
      <c r="J728" s="0" t="n">
        <v>4</v>
      </c>
      <c r="K728" s="3" t="s">
        <v>21</v>
      </c>
      <c r="L728" s="0" t="str">
        <f aca="false">VLOOKUP(D728,Products!$A$2:$D$13,2,FALSE())</f>
        <v>Electronics</v>
      </c>
      <c r="M728" s="3" t="n">
        <f aca="false">F728*G728*(1-H728/100)</f>
        <v>450</v>
      </c>
      <c r="N728" s="0" t="str">
        <f aca="false">VLOOKUP(I728,Customers!$A$2:$D$121,3,FALSE())</f>
        <v>Jaipur</v>
      </c>
      <c r="O728" s="0" t="str">
        <f aca="false">VLOOKUP(I728,Customers!$A$2:$D$121,4,FALSE())</f>
        <v>Student</v>
      </c>
      <c r="P728" s="0" t="str">
        <f aca="false">TEXT(B728,"yyyy-mm")</f>
        <v>2025-12</v>
      </c>
    </row>
    <row r="729" customFormat="false" ht="15" hidden="false" customHeight="false" outlineLevel="0" collapsed="false">
      <c r="A729" s="0" t="s">
        <v>895</v>
      </c>
      <c r="B729" s="2" t="n">
        <v>46087</v>
      </c>
      <c r="C729" s="3" t="s">
        <v>23</v>
      </c>
      <c r="D729" s="3" t="s">
        <v>88</v>
      </c>
      <c r="E729" s="3" t="s">
        <v>24</v>
      </c>
      <c r="F729" s="0" t="n">
        <v>3</v>
      </c>
      <c r="G729" s="0" t="n">
        <v>799</v>
      </c>
      <c r="H729" s="0" t="n">
        <v>10</v>
      </c>
      <c r="I729" s="3" t="s">
        <v>158</v>
      </c>
      <c r="J729" s="0" t="n">
        <v>3</v>
      </c>
      <c r="K729" s="3" t="s">
        <v>34</v>
      </c>
      <c r="L729" s="0" t="str">
        <f aca="false">VLOOKUP(D729,Products!$A$2:$D$13,2,FALSE())</f>
        <v>Accessories</v>
      </c>
      <c r="M729" s="3" t="n">
        <f aca="false">F729*G729*(1-H729/100)</f>
        <v>2157.3</v>
      </c>
      <c r="N729" s="0" t="str">
        <f aca="false">VLOOKUP(I729,Customers!$A$2:$D$121,3,FALSE())</f>
        <v>Mumbai</v>
      </c>
      <c r="O729" s="0" t="str">
        <f aca="false">VLOOKUP(I729,Customers!$A$2:$D$121,4,FALSE())</f>
        <v>Retail</v>
      </c>
      <c r="P729" s="0" t="str">
        <f aca="false">TEXT(B729,"yyyy-mm")</f>
        <v>2026-03</v>
      </c>
    </row>
    <row r="730" customFormat="false" ht="15" hidden="false" customHeight="false" outlineLevel="0" collapsed="false">
      <c r="A730" s="0" t="s">
        <v>896</v>
      </c>
      <c r="B730" s="2" t="n">
        <v>46087</v>
      </c>
      <c r="C730" s="3" t="s">
        <v>72</v>
      </c>
      <c r="D730" s="3" t="s">
        <v>88</v>
      </c>
      <c r="E730" s="3" t="s">
        <v>89</v>
      </c>
      <c r="F730" s="0" t="n">
        <v>1</v>
      </c>
      <c r="G730" s="0" t="n">
        <v>799</v>
      </c>
      <c r="H730" s="0" t="n">
        <v>15</v>
      </c>
      <c r="I730" s="3" t="s">
        <v>193</v>
      </c>
      <c r="J730" s="0" t="n">
        <v>5</v>
      </c>
      <c r="K730" s="3" t="s">
        <v>34</v>
      </c>
      <c r="L730" s="0" t="str">
        <f aca="false">VLOOKUP(D730,Products!$A$2:$D$13,2,FALSE())</f>
        <v>Accessories</v>
      </c>
      <c r="M730" s="3" t="n">
        <f aca="false">F730*G730*(1-H730/100)</f>
        <v>679.15</v>
      </c>
      <c r="N730" s="0" t="str">
        <f aca="false">VLOOKUP(I730,Customers!$A$2:$D$121,3,FALSE())</f>
        <v>Delhi</v>
      </c>
      <c r="O730" s="0" t="str">
        <f aca="false">VLOOKUP(I730,Customers!$A$2:$D$121,4,FALSE())</f>
        <v>Retail</v>
      </c>
      <c r="P730" s="0" t="str">
        <f aca="false">TEXT(B730,"yyyy-mm")</f>
        <v>2026-03</v>
      </c>
    </row>
    <row r="731" customFormat="false" ht="15" hidden="false" customHeight="false" outlineLevel="0" collapsed="false">
      <c r="A731" s="0" t="s">
        <v>897</v>
      </c>
      <c r="B731" s="2" t="n">
        <v>45866</v>
      </c>
      <c r="C731" s="3" t="s">
        <v>51</v>
      </c>
      <c r="D731" s="3" t="s">
        <v>18</v>
      </c>
      <c r="E731" s="3" t="s">
        <v>52</v>
      </c>
      <c r="F731" s="0" t="n">
        <v>2</v>
      </c>
      <c r="G731" s="0" t="n">
        <v>349</v>
      </c>
      <c r="H731" s="0" t="n">
        <v>5</v>
      </c>
      <c r="I731" s="3" t="s">
        <v>114</v>
      </c>
      <c r="J731" s="0" t="n">
        <v>5</v>
      </c>
      <c r="K731" s="3" t="s">
        <v>34</v>
      </c>
      <c r="L731" s="0" t="str">
        <f aca="false">VLOOKUP(D731,Products!$A$2:$D$13,2,FALSE())</f>
        <v>Home</v>
      </c>
      <c r="M731" s="3" t="n">
        <f aca="false">F731*G731*(1-H731/100)</f>
        <v>663.1</v>
      </c>
      <c r="N731" s="0" t="str">
        <f aca="false">VLOOKUP(I731,Customers!$A$2:$D$121,3,FALSE())</f>
        <v>Lucknow</v>
      </c>
      <c r="O731" s="0" t="str">
        <f aca="false">VLOOKUP(I731,Customers!$A$2:$D$121,4,FALSE())</f>
        <v>Retail</v>
      </c>
      <c r="P731" s="0" t="str">
        <f aca="false">TEXT(B731,"yyyy-mm")</f>
        <v>2025-07</v>
      </c>
    </row>
    <row r="732" customFormat="false" ht="15" hidden="false" customHeight="false" outlineLevel="0" collapsed="false">
      <c r="A732" s="0" t="s">
        <v>898</v>
      </c>
      <c r="B732" s="2" t="n">
        <v>46020</v>
      </c>
      <c r="C732" s="3" t="s">
        <v>23</v>
      </c>
      <c r="D732" s="3" t="s">
        <v>32</v>
      </c>
      <c r="E732" s="3" t="s">
        <v>29</v>
      </c>
      <c r="F732" s="0" t="n">
        <v>1</v>
      </c>
      <c r="G732" s="0" t="n">
        <v>249</v>
      </c>
      <c r="H732" s="0" t="n">
        <v>0</v>
      </c>
      <c r="I732" s="3" t="s">
        <v>178</v>
      </c>
      <c r="J732" s="0" t="n">
        <v>3</v>
      </c>
      <c r="K732" s="3" t="s">
        <v>21</v>
      </c>
      <c r="L732" s="0" t="str">
        <f aca="false">VLOOKUP(D732,Products!$A$2:$D$13,2,FALSE())</f>
        <v>Accessories</v>
      </c>
      <c r="M732" s="3" t="n">
        <f aca="false">F732*G732*(1-H732/100)</f>
        <v>249</v>
      </c>
      <c r="N732" s="0" t="str">
        <f aca="false">VLOOKUP(I732,Customers!$A$2:$D$121,3,FALSE())</f>
        <v>Nagpur</v>
      </c>
      <c r="O732" s="0" t="str">
        <f aca="false">VLOOKUP(I732,Customers!$A$2:$D$121,4,FALSE())</f>
        <v>Student</v>
      </c>
      <c r="P732" s="0" t="str">
        <f aca="false">TEXT(B732,"yyyy-mm")</f>
        <v>2025-12</v>
      </c>
    </row>
    <row r="733" customFormat="false" ht="15" hidden="false" customHeight="false" outlineLevel="0" collapsed="false">
      <c r="A733" s="0" t="s">
        <v>899</v>
      </c>
      <c r="B733" s="2" t="n">
        <v>46019</v>
      </c>
      <c r="C733" s="3" t="s">
        <v>36</v>
      </c>
      <c r="D733" s="3" t="s">
        <v>60</v>
      </c>
      <c r="E733" s="3" t="s">
        <v>38</v>
      </c>
      <c r="F733" s="0" t="n">
        <v>3</v>
      </c>
      <c r="G733" s="0" t="n">
        <v>40</v>
      </c>
      <c r="H733" s="0" t="n">
        <v>0</v>
      </c>
      <c r="I733" s="3" t="s">
        <v>256</v>
      </c>
      <c r="J733" s="0" t="n">
        <v>4</v>
      </c>
      <c r="K733" s="3" t="s">
        <v>21</v>
      </c>
      <c r="L733" s="0" t="str">
        <f aca="false">VLOOKUP(D733,Products!$A$2:$D$13,2,FALSE())</f>
        <v>Stationery</v>
      </c>
      <c r="M733" s="3" t="n">
        <f aca="false">F733*G733*(1-H733/100)</f>
        <v>120</v>
      </c>
      <c r="N733" s="0" t="str">
        <f aca="false">VLOOKUP(I733,Customers!$A$2:$D$121,3,FALSE())</f>
        <v>Lucknow</v>
      </c>
      <c r="O733" s="0" t="str">
        <f aca="false">VLOOKUP(I733,Customers!$A$2:$D$121,4,FALSE())</f>
        <v>Corporate</v>
      </c>
      <c r="P733" s="0" t="str">
        <f aca="false">TEXT(B733,"yyyy-mm")</f>
        <v>2025-12</v>
      </c>
    </row>
    <row r="734" customFormat="false" ht="15" hidden="false" customHeight="false" outlineLevel="0" collapsed="false">
      <c r="A734" s="0" t="s">
        <v>900</v>
      </c>
      <c r="B734" s="2" t="n">
        <v>45929</v>
      </c>
      <c r="C734" s="3" t="s">
        <v>72</v>
      </c>
      <c r="D734" s="3" t="s">
        <v>41</v>
      </c>
      <c r="E734" s="3" t="s">
        <v>73</v>
      </c>
      <c r="F734" s="0" t="n">
        <v>2</v>
      </c>
      <c r="G734" s="0" t="n">
        <v>399</v>
      </c>
      <c r="H734" s="0" t="n">
        <v>15</v>
      </c>
      <c r="I734" s="3" t="s">
        <v>217</v>
      </c>
      <c r="J734" s="0" t="n">
        <v>3</v>
      </c>
      <c r="K734" s="3" t="s">
        <v>21</v>
      </c>
      <c r="L734" s="0" t="str">
        <f aca="false">VLOOKUP(D734,Products!$A$2:$D$13,2,FALSE())</f>
        <v>Electronics</v>
      </c>
      <c r="M734" s="3" t="n">
        <f aca="false">F734*G734*(1-H734/100)</f>
        <v>678.3</v>
      </c>
      <c r="N734" s="0" t="str">
        <f aca="false">VLOOKUP(I734,Customers!$A$2:$D$121,3,FALSE())</f>
        <v>Nagpur</v>
      </c>
      <c r="O734" s="0" t="str">
        <f aca="false">VLOOKUP(I734,Customers!$A$2:$D$121,4,FALSE())</f>
        <v>Student</v>
      </c>
      <c r="P734" s="0" t="str">
        <f aca="false">TEXT(B734,"yyyy-mm")</f>
        <v>2025-09</v>
      </c>
    </row>
    <row r="735" customFormat="false" ht="15" hidden="false" customHeight="false" outlineLevel="0" collapsed="false">
      <c r="A735" s="0" t="s">
        <v>901</v>
      </c>
      <c r="B735" s="2" t="n">
        <v>45946</v>
      </c>
      <c r="C735" s="3" t="s">
        <v>72</v>
      </c>
      <c r="D735" s="3" t="s">
        <v>18</v>
      </c>
      <c r="E735" s="3" t="s">
        <v>89</v>
      </c>
      <c r="F735" s="0" t="n">
        <v>1</v>
      </c>
      <c r="G735" s="0" t="n">
        <v>349</v>
      </c>
      <c r="H735" s="0" t="n">
        <v>0</v>
      </c>
      <c r="I735" s="3" t="s">
        <v>30</v>
      </c>
      <c r="J735" s="0" t="n">
        <v>5</v>
      </c>
      <c r="K735" s="3" t="s">
        <v>26</v>
      </c>
      <c r="L735" s="0" t="str">
        <f aca="false">VLOOKUP(D735,Products!$A$2:$D$13,2,FALSE())</f>
        <v>Home</v>
      </c>
      <c r="M735" s="3" t="n">
        <f aca="false">F735*G735*(1-H735/100)</f>
        <v>349</v>
      </c>
      <c r="N735" s="0" t="str">
        <f aca="false">VLOOKUP(I735,Customers!$A$2:$D$121,3,FALSE())</f>
        <v>Chennai</v>
      </c>
      <c r="O735" s="0" t="str">
        <f aca="false">VLOOKUP(I735,Customers!$A$2:$D$121,4,FALSE())</f>
        <v>Student</v>
      </c>
      <c r="P735" s="0" t="str">
        <f aca="false">TEXT(B735,"yyyy-mm")</f>
        <v>2025-10</v>
      </c>
    </row>
    <row r="736" customFormat="false" ht="15" hidden="false" customHeight="false" outlineLevel="0" collapsed="false">
      <c r="A736" s="0" t="s">
        <v>902</v>
      </c>
      <c r="B736" s="2" t="n">
        <v>46084</v>
      </c>
      <c r="C736" s="3" t="s">
        <v>51</v>
      </c>
      <c r="D736" s="3" t="s">
        <v>41</v>
      </c>
      <c r="E736" s="3" t="s">
        <v>52</v>
      </c>
      <c r="F736" s="0" t="n">
        <v>4</v>
      </c>
      <c r="G736" s="0" t="n">
        <v>399</v>
      </c>
      <c r="H736" s="0" t="n">
        <v>0</v>
      </c>
      <c r="I736" s="3" t="s">
        <v>67</v>
      </c>
      <c r="J736" s="0" t="n">
        <v>4</v>
      </c>
      <c r="K736" s="3" t="s">
        <v>43</v>
      </c>
      <c r="L736" s="0" t="str">
        <f aca="false">VLOOKUP(D736,Products!$A$2:$D$13,2,FALSE())</f>
        <v>Electronics</v>
      </c>
      <c r="M736" s="3" t="n">
        <f aca="false">F736*G736*(1-H736/100)</f>
        <v>1596</v>
      </c>
      <c r="N736" s="0" t="str">
        <f aca="false">VLOOKUP(I736,Customers!$A$2:$D$121,3,FALSE())</f>
        <v>Jaipur</v>
      </c>
      <c r="O736" s="0" t="str">
        <f aca="false">VLOOKUP(I736,Customers!$A$2:$D$121,4,FALSE())</f>
        <v>Corporate</v>
      </c>
      <c r="P736" s="0" t="str">
        <f aca="false">TEXT(B736,"yyyy-mm")</f>
        <v>2026-03</v>
      </c>
    </row>
    <row r="737" customFormat="false" ht="15" hidden="false" customHeight="false" outlineLevel="0" collapsed="false">
      <c r="A737" s="0" t="s">
        <v>903</v>
      </c>
      <c r="B737" s="2" t="n">
        <v>45826</v>
      </c>
      <c r="C737" s="3" t="s">
        <v>23</v>
      </c>
      <c r="D737" s="3" t="s">
        <v>28</v>
      </c>
      <c r="E737" s="3" t="s">
        <v>29</v>
      </c>
      <c r="F737" s="0" t="n">
        <v>1</v>
      </c>
      <c r="G737" s="0" t="n">
        <v>450</v>
      </c>
      <c r="H737" s="0" t="n">
        <v>5</v>
      </c>
      <c r="I737" s="3" t="s">
        <v>351</v>
      </c>
      <c r="J737" s="0" t="n">
        <v>5</v>
      </c>
      <c r="K737" s="3" t="s">
        <v>43</v>
      </c>
      <c r="L737" s="0" t="str">
        <f aca="false">VLOOKUP(D737,Products!$A$2:$D$13,2,FALSE())</f>
        <v>Electronics</v>
      </c>
      <c r="M737" s="3" t="n">
        <f aca="false">F737*G737*(1-H737/100)</f>
        <v>427.5</v>
      </c>
      <c r="N737" s="0" t="str">
        <f aca="false">VLOOKUP(I737,Customers!$A$2:$D$121,3,FALSE())</f>
        <v>Nagpur</v>
      </c>
      <c r="O737" s="0" t="str">
        <f aca="false">VLOOKUP(I737,Customers!$A$2:$D$121,4,FALSE())</f>
        <v>Student</v>
      </c>
      <c r="P737" s="0" t="str">
        <f aca="false">TEXT(B737,"yyyy-mm")</f>
        <v>2025-06</v>
      </c>
    </row>
    <row r="738" customFormat="false" ht="15" hidden="false" customHeight="false" outlineLevel="0" collapsed="false">
      <c r="A738" s="0" t="s">
        <v>904</v>
      </c>
      <c r="B738" s="2" t="n">
        <v>45853</v>
      </c>
      <c r="C738" s="3" t="s">
        <v>36</v>
      </c>
      <c r="D738" s="3" t="s">
        <v>57</v>
      </c>
      <c r="E738" s="3" t="s">
        <v>38</v>
      </c>
      <c r="F738" s="0" t="n">
        <v>2</v>
      </c>
      <c r="G738" s="0" t="n">
        <v>549</v>
      </c>
      <c r="H738" s="0" t="n">
        <v>15</v>
      </c>
      <c r="I738" s="3" t="s">
        <v>291</v>
      </c>
      <c r="J738" s="0" t="n">
        <v>4</v>
      </c>
      <c r="K738" s="3" t="s">
        <v>26</v>
      </c>
      <c r="L738" s="0" t="str">
        <f aca="false">VLOOKUP(D738,Products!$A$2:$D$13,2,FALSE())</f>
        <v>Accessories</v>
      </c>
      <c r="M738" s="3" t="n">
        <f aca="false">F738*G738*(1-H738/100)</f>
        <v>933.3</v>
      </c>
      <c r="N738" s="0" t="str">
        <f aca="false">VLOOKUP(I738,Customers!$A$2:$D$121,3,FALSE())</f>
        <v>Pune</v>
      </c>
      <c r="O738" s="0" t="str">
        <f aca="false">VLOOKUP(I738,Customers!$A$2:$D$121,4,FALSE())</f>
        <v>Retail</v>
      </c>
      <c r="P738" s="0" t="str">
        <f aca="false">TEXT(B738,"yyyy-mm")</f>
        <v>2025-07</v>
      </c>
    </row>
    <row r="739" customFormat="false" ht="15" hidden="false" customHeight="false" outlineLevel="0" collapsed="false">
      <c r="A739" s="0" t="s">
        <v>905</v>
      </c>
      <c r="B739" s="2" t="n">
        <v>45817</v>
      </c>
      <c r="C739" s="3" t="s">
        <v>23</v>
      </c>
      <c r="D739" s="3" t="s">
        <v>37</v>
      </c>
      <c r="E739" s="3" t="s">
        <v>24</v>
      </c>
      <c r="F739" s="0" t="n">
        <v>4</v>
      </c>
      <c r="G739" s="0" t="n">
        <v>500</v>
      </c>
      <c r="H739" s="0" t="n">
        <v>5</v>
      </c>
      <c r="I739" s="3" t="s">
        <v>280</v>
      </c>
      <c r="J739" s="0" t="n">
        <v>5</v>
      </c>
      <c r="K739" s="3" t="s">
        <v>26</v>
      </c>
      <c r="L739" s="0" t="str">
        <f aca="false">VLOOKUP(D739,Products!$A$2:$D$13,2,FALSE())</f>
        <v>Electronics</v>
      </c>
      <c r="M739" s="3" t="n">
        <f aca="false">F739*G739*(1-H739/100)</f>
        <v>1900</v>
      </c>
      <c r="N739" s="0" t="str">
        <f aca="false">VLOOKUP(I739,Customers!$A$2:$D$121,3,FALSE())</f>
        <v>Kolkata</v>
      </c>
      <c r="O739" s="0" t="str">
        <f aca="false">VLOOKUP(I739,Customers!$A$2:$D$121,4,FALSE())</f>
        <v>Corporate</v>
      </c>
      <c r="P739" s="0" t="str">
        <f aca="false">TEXT(B739,"yyyy-mm")</f>
        <v>2025-06</v>
      </c>
    </row>
    <row r="740" customFormat="false" ht="15" hidden="false" customHeight="false" outlineLevel="0" collapsed="false">
      <c r="A740" s="0" t="s">
        <v>906</v>
      </c>
      <c r="B740" s="2" t="n">
        <v>46033</v>
      </c>
      <c r="C740" s="3" t="s">
        <v>17</v>
      </c>
      <c r="D740" s="3" t="s">
        <v>41</v>
      </c>
      <c r="E740" s="3" t="s">
        <v>93</v>
      </c>
      <c r="F740" s="0" t="n">
        <v>2</v>
      </c>
      <c r="G740" s="0" t="n">
        <v>399</v>
      </c>
      <c r="H740" s="0" t="n">
        <v>10</v>
      </c>
      <c r="I740" s="3" t="s">
        <v>284</v>
      </c>
      <c r="J740" s="0" t="n">
        <v>2</v>
      </c>
      <c r="K740" s="3" t="s">
        <v>26</v>
      </c>
      <c r="L740" s="0" t="str">
        <f aca="false">VLOOKUP(D740,Products!$A$2:$D$13,2,FALSE())</f>
        <v>Electronics</v>
      </c>
      <c r="M740" s="3" t="n">
        <f aca="false">F740*G740*(1-H740/100)</f>
        <v>718.2</v>
      </c>
      <c r="N740" s="0" t="str">
        <f aca="false">VLOOKUP(I740,Customers!$A$2:$D$121,3,FALSE())</f>
        <v>Jaipur</v>
      </c>
      <c r="O740" s="0" t="str">
        <f aca="false">VLOOKUP(I740,Customers!$A$2:$D$121,4,FALSE())</f>
        <v>Retail</v>
      </c>
      <c r="P740" s="0" t="str">
        <f aca="false">TEXT(B740,"yyyy-mm")</f>
        <v>2026-01</v>
      </c>
    </row>
    <row r="741" customFormat="false" ht="15" hidden="false" customHeight="false" outlineLevel="0" collapsed="false">
      <c r="A741" s="0" t="s">
        <v>907</v>
      </c>
      <c r="B741" s="2" t="n">
        <v>45911</v>
      </c>
      <c r="C741" s="3" t="s">
        <v>17</v>
      </c>
      <c r="D741" s="3" t="s">
        <v>48</v>
      </c>
      <c r="E741" s="3" t="s">
        <v>93</v>
      </c>
      <c r="F741" s="0" t="n">
        <v>1</v>
      </c>
      <c r="G741" s="0" t="n">
        <v>199</v>
      </c>
      <c r="H741" s="0" t="n">
        <v>5</v>
      </c>
      <c r="I741" s="3" t="s">
        <v>237</v>
      </c>
      <c r="J741" s="0" t="n">
        <v>3</v>
      </c>
      <c r="K741" s="3" t="s">
        <v>26</v>
      </c>
      <c r="L741" s="0" t="str">
        <f aca="false">VLOOKUP(D741,Products!$A$2:$D$13,2,FALSE())</f>
        <v>Home</v>
      </c>
      <c r="M741" s="3" t="n">
        <f aca="false">F741*G741*(1-H741/100)</f>
        <v>189.05</v>
      </c>
      <c r="N741" s="0" t="str">
        <f aca="false">VLOOKUP(I741,Customers!$A$2:$D$121,3,FALSE())</f>
        <v>Jaipur</v>
      </c>
      <c r="O741" s="0" t="str">
        <f aca="false">VLOOKUP(I741,Customers!$A$2:$D$121,4,FALSE())</f>
        <v>Retail</v>
      </c>
      <c r="P741" s="0" t="str">
        <f aca="false">TEXT(B741,"yyyy-mm")</f>
        <v>2025-09</v>
      </c>
    </row>
    <row r="742" customFormat="false" ht="15" hidden="false" customHeight="false" outlineLevel="0" collapsed="false">
      <c r="A742" s="0" t="s">
        <v>908</v>
      </c>
      <c r="B742" s="2" t="n">
        <v>45815</v>
      </c>
      <c r="C742" s="3" t="s">
        <v>17</v>
      </c>
      <c r="D742" s="3" t="s">
        <v>28</v>
      </c>
      <c r="E742" s="3" t="s">
        <v>93</v>
      </c>
      <c r="F742" s="0" t="n">
        <v>5</v>
      </c>
      <c r="G742" s="0" t="n">
        <v>450</v>
      </c>
      <c r="H742" s="0" t="n">
        <v>0</v>
      </c>
      <c r="I742" s="3" t="s">
        <v>137</v>
      </c>
      <c r="J742" s="0" t="n">
        <v>5</v>
      </c>
      <c r="K742" s="3" t="s">
        <v>26</v>
      </c>
      <c r="L742" s="0" t="str">
        <f aca="false">VLOOKUP(D742,Products!$A$2:$D$13,2,FALSE())</f>
        <v>Electronics</v>
      </c>
      <c r="M742" s="3" t="n">
        <f aca="false">F742*G742*(1-H742/100)</f>
        <v>2250</v>
      </c>
      <c r="N742" s="0" t="str">
        <f aca="false">VLOOKUP(I742,Customers!$A$2:$D$121,3,FALSE())</f>
        <v>Mumbai</v>
      </c>
      <c r="O742" s="0" t="str">
        <f aca="false">VLOOKUP(I742,Customers!$A$2:$D$121,4,FALSE())</f>
        <v>Corporate</v>
      </c>
      <c r="P742" s="0" t="str">
        <f aca="false">TEXT(B742,"yyyy-mm")</f>
        <v>2025-06</v>
      </c>
    </row>
    <row r="743" customFormat="false" ht="15" hidden="false" customHeight="false" outlineLevel="0" collapsed="false">
      <c r="A743" s="0" t="s">
        <v>909</v>
      </c>
      <c r="B743" s="2" t="n">
        <v>45866</v>
      </c>
      <c r="C743" s="3" t="s">
        <v>36</v>
      </c>
      <c r="D743" s="3" t="s">
        <v>116</v>
      </c>
      <c r="E743" s="3" t="s">
        <v>69</v>
      </c>
      <c r="F743" s="0" t="n">
        <v>2</v>
      </c>
      <c r="G743" s="0" t="n">
        <v>699</v>
      </c>
      <c r="H743" s="0" t="n">
        <v>15</v>
      </c>
      <c r="I743" s="3" t="s">
        <v>137</v>
      </c>
      <c r="J743" s="0" t="n">
        <v>4</v>
      </c>
      <c r="K743" s="3" t="s">
        <v>26</v>
      </c>
      <c r="L743" s="0" t="str">
        <f aca="false">VLOOKUP(D743,Products!$A$2:$D$13,2,FALSE())</f>
        <v>Home</v>
      </c>
      <c r="M743" s="3" t="n">
        <f aca="false">F743*G743*(1-H743/100)</f>
        <v>1188.3</v>
      </c>
      <c r="N743" s="0" t="str">
        <f aca="false">VLOOKUP(I743,Customers!$A$2:$D$121,3,FALSE())</f>
        <v>Mumbai</v>
      </c>
      <c r="O743" s="0" t="str">
        <f aca="false">VLOOKUP(I743,Customers!$A$2:$D$121,4,FALSE())</f>
        <v>Corporate</v>
      </c>
      <c r="P743" s="0" t="str">
        <f aca="false">TEXT(B743,"yyyy-mm")</f>
        <v>2025-07</v>
      </c>
    </row>
    <row r="744" customFormat="false" ht="15" hidden="false" customHeight="false" outlineLevel="0" collapsed="false">
      <c r="A744" s="0" t="s">
        <v>910</v>
      </c>
      <c r="B744" s="2" t="n">
        <v>45988</v>
      </c>
      <c r="C744" s="3" t="s">
        <v>23</v>
      </c>
      <c r="D744" s="3" t="s">
        <v>57</v>
      </c>
      <c r="E744" s="3" t="s">
        <v>29</v>
      </c>
      <c r="F744" s="0" t="n">
        <v>1</v>
      </c>
      <c r="G744" s="0" t="n">
        <v>549</v>
      </c>
      <c r="H744" s="0" t="n">
        <v>15</v>
      </c>
      <c r="I744" s="3" t="s">
        <v>684</v>
      </c>
      <c r="J744" s="0" t="n">
        <v>4</v>
      </c>
      <c r="K744" s="3" t="s">
        <v>43</v>
      </c>
      <c r="L744" s="0" t="str">
        <f aca="false">VLOOKUP(D744,Products!$A$2:$D$13,2,FALSE())</f>
        <v>Accessories</v>
      </c>
      <c r="M744" s="3" t="n">
        <f aca="false">F744*G744*(1-H744/100)</f>
        <v>466.65</v>
      </c>
      <c r="N744" s="0" t="str">
        <f aca="false">VLOOKUP(I744,Customers!$A$2:$D$121,3,FALSE())</f>
        <v>Nagpur</v>
      </c>
      <c r="O744" s="0" t="str">
        <f aca="false">VLOOKUP(I744,Customers!$A$2:$D$121,4,FALSE())</f>
        <v>Retail</v>
      </c>
      <c r="P744" s="0" t="str">
        <f aca="false">TEXT(B744,"yyyy-mm")</f>
        <v>2025-11</v>
      </c>
    </row>
    <row r="745" customFormat="false" ht="15" hidden="false" customHeight="false" outlineLevel="0" collapsed="false">
      <c r="A745" s="0" t="s">
        <v>911</v>
      </c>
      <c r="B745" s="2" t="n">
        <v>45831</v>
      </c>
      <c r="C745" s="3" t="s">
        <v>36</v>
      </c>
      <c r="D745" s="3" t="s">
        <v>32</v>
      </c>
      <c r="E745" s="3" t="s">
        <v>38</v>
      </c>
      <c r="F745" s="0" t="n">
        <v>1</v>
      </c>
      <c r="G745" s="0" t="n">
        <v>249</v>
      </c>
      <c r="H745" s="0" t="n">
        <v>0</v>
      </c>
      <c r="I745" s="3" t="s">
        <v>203</v>
      </c>
      <c r="J745" s="0" t="n">
        <v>1</v>
      </c>
      <c r="K745" s="3" t="s">
        <v>34</v>
      </c>
      <c r="L745" s="0" t="str">
        <f aca="false">VLOOKUP(D745,Products!$A$2:$D$13,2,FALSE())</f>
        <v>Accessories</v>
      </c>
      <c r="M745" s="3" t="n">
        <f aca="false">F745*G745*(1-H745/100)</f>
        <v>249</v>
      </c>
      <c r="N745" s="0" t="str">
        <f aca="false">VLOOKUP(I745,Customers!$A$2:$D$121,3,FALSE())</f>
        <v>Jaipur</v>
      </c>
      <c r="O745" s="0" t="str">
        <f aca="false">VLOOKUP(I745,Customers!$A$2:$D$121,4,FALSE())</f>
        <v>Corporate</v>
      </c>
      <c r="P745" s="0" t="str">
        <f aca="false">TEXT(B745,"yyyy-mm")</f>
        <v>2025-06</v>
      </c>
    </row>
    <row r="746" customFormat="false" ht="15" hidden="false" customHeight="false" outlineLevel="0" collapsed="false">
      <c r="A746" s="0" t="s">
        <v>912</v>
      </c>
      <c r="B746" s="2" t="n">
        <v>46091</v>
      </c>
      <c r="C746" s="3" t="s">
        <v>36</v>
      </c>
      <c r="D746" s="3" t="s">
        <v>88</v>
      </c>
      <c r="E746" s="3" t="s">
        <v>38</v>
      </c>
      <c r="F746" s="0" t="n">
        <v>3</v>
      </c>
      <c r="G746" s="0" t="n">
        <v>799</v>
      </c>
      <c r="H746" s="0" t="n">
        <v>0</v>
      </c>
      <c r="I746" s="3" t="s">
        <v>182</v>
      </c>
      <c r="J746" s="0" t="n">
        <v>3</v>
      </c>
      <c r="K746" s="3" t="s">
        <v>43</v>
      </c>
      <c r="L746" s="0" t="str">
        <f aca="false">VLOOKUP(D746,Products!$A$2:$D$13,2,FALSE())</f>
        <v>Accessories</v>
      </c>
      <c r="M746" s="3" t="n">
        <f aca="false">F746*G746*(1-H746/100)</f>
        <v>2397</v>
      </c>
      <c r="N746" s="0" t="str">
        <f aca="false">VLOOKUP(I746,Customers!$A$2:$D$121,3,FALSE())</f>
        <v>Pune</v>
      </c>
      <c r="O746" s="0" t="str">
        <f aca="false">VLOOKUP(I746,Customers!$A$2:$D$121,4,FALSE())</f>
        <v>Corporate</v>
      </c>
      <c r="P746" s="0" t="str">
        <f aca="false">TEXT(B746,"yyyy-mm")</f>
        <v>2026-03</v>
      </c>
    </row>
    <row r="747" customFormat="false" ht="15" hidden="false" customHeight="false" outlineLevel="0" collapsed="false">
      <c r="A747" s="0" t="s">
        <v>913</v>
      </c>
      <c r="B747" s="2" t="n">
        <v>46100</v>
      </c>
      <c r="C747" s="3" t="s">
        <v>51</v>
      </c>
      <c r="D747" s="3" t="s">
        <v>116</v>
      </c>
      <c r="E747" s="3" t="s">
        <v>52</v>
      </c>
      <c r="F747" s="0" t="n">
        <v>2</v>
      </c>
      <c r="G747" s="0" t="n">
        <v>699</v>
      </c>
      <c r="H747" s="0" t="n">
        <v>0</v>
      </c>
      <c r="I747" s="3" t="s">
        <v>548</v>
      </c>
      <c r="J747" s="0" t="n">
        <v>4</v>
      </c>
      <c r="K747" s="3" t="s">
        <v>43</v>
      </c>
      <c r="L747" s="0" t="str">
        <f aca="false">VLOOKUP(D747,Products!$A$2:$D$13,2,FALSE())</f>
        <v>Home</v>
      </c>
      <c r="M747" s="3" t="n">
        <f aca="false">F747*G747*(1-H747/100)</f>
        <v>1398</v>
      </c>
      <c r="N747" s="0" t="str">
        <f aca="false">VLOOKUP(I747,Customers!$A$2:$D$121,3,FALSE())</f>
        <v>Delhi</v>
      </c>
      <c r="O747" s="0" t="str">
        <f aca="false">VLOOKUP(I747,Customers!$A$2:$D$121,4,FALSE())</f>
        <v>Corporate</v>
      </c>
      <c r="P747" s="0" t="str">
        <f aca="false">TEXT(B747,"yyyy-mm")</f>
        <v>2026-03</v>
      </c>
    </row>
    <row r="748" customFormat="false" ht="15" hidden="false" customHeight="false" outlineLevel="0" collapsed="false">
      <c r="A748" s="0" t="s">
        <v>914</v>
      </c>
      <c r="B748" s="2" t="n">
        <v>46059</v>
      </c>
      <c r="C748" s="3" t="s">
        <v>17</v>
      </c>
      <c r="D748" s="3" t="s">
        <v>88</v>
      </c>
      <c r="E748" s="3" t="s">
        <v>93</v>
      </c>
      <c r="F748" s="0" t="n">
        <v>2</v>
      </c>
      <c r="G748" s="0" t="n">
        <v>799</v>
      </c>
      <c r="H748" s="0" t="n">
        <v>15</v>
      </c>
      <c r="I748" s="3" t="s">
        <v>426</v>
      </c>
      <c r="J748" s="0" t="n">
        <v>4</v>
      </c>
      <c r="K748" s="3" t="s">
        <v>43</v>
      </c>
      <c r="L748" s="0" t="str">
        <f aca="false">VLOOKUP(D748,Products!$A$2:$D$13,2,FALSE())</f>
        <v>Accessories</v>
      </c>
      <c r="M748" s="3" t="n">
        <f aca="false">F748*G748*(1-H748/100)</f>
        <v>1358.3</v>
      </c>
      <c r="N748" s="0" t="str">
        <f aca="false">VLOOKUP(I748,Customers!$A$2:$D$121,3,FALSE())</f>
        <v>Bhopal</v>
      </c>
      <c r="O748" s="0" t="str">
        <f aca="false">VLOOKUP(I748,Customers!$A$2:$D$121,4,FALSE())</f>
        <v>Corporate</v>
      </c>
      <c r="P748" s="0" t="str">
        <f aca="false">TEXT(B748,"yyyy-mm")</f>
        <v>2026-02</v>
      </c>
    </row>
    <row r="749" customFormat="false" ht="15" hidden="false" customHeight="false" outlineLevel="0" collapsed="false">
      <c r="A749" s="0" t="s">
        <v>915</v>
      </c>
      <c r="B749" s="2" t="n">
        <v>46052</v>
      </c>
      <c r="C749" s="3" t="s">
        <v>23</v>
      </c>
      <c r="D749" s="3" t="s">
        <v>116</v>
      </c>
      <c r="E749" s="3" t="s">
        <v>24</v>
      </c>
      <c r="F749" s="0" t="n">
        <v>4</v>
      </c>
      <c r="G749" s="0" t="n">
        <v>699</v>
      </c>
      <c r="H749" s="0" t="n">
        <v>10</v>
      </c>
      <c r="I749" s="3" t="s">
        <v>165</v>
      </c>
      <c r="J749" s="0" t="n">
        <v>4</v>
      </c>
      <c r="K749" s="3" t="s">
        <v>21</v>
      </c>
      <c r="L749" s="0" t="str">
        <f aca="false">VLOOKUP(D749,Products!$A$2:$D$13,2,FALSE())</f>
        <v>Home</v>
      </c>
      <c r="M749" s="3" t="n">
        <f aca="false">F749*G749*(1-H749/100)</f>
        <v>2516.4</v>
      </c>
      <c r="N749" s="0" t="str">
        <f aca="false">VLOOKUP(I749,Customers!$A$2:$D$121,3,FALSE())</f>
        <v>Mumbai</v>
      </c>
      <c r="O749" s="0" t="str">
        <f aca="false">VLOOKUP(I749,Customers!$A$2:$D$121,4,FALSE())</f>
        <v>Retail</v>
      </c>
      <c r="P749" s="0" t="str">
        <f aca="false">TEXT(B749,"yyyy-mm")</f>
        <v>2026-01</v>
      </c>
    </row>
    <row r="750" customFormat="false" ht="15" hidden="false" customHeight="false" outlineLevel="0" collapsed="false">
      <c r="A750" s="0" t="s">
        <v>916</v>
      </c>
      <c r="B750" s="2" t="n">
        <v>45769</v>
      </c>
      <c r="C750" s="3" t="s">
        <v>51</v>
      </c>
      <c r="D750" s="3" t="s">
        <v>32</v>
      </c>
      <c r="E750" s="3" t="s">
        <v>52</v>
      </c>
      <c r="F750" s="0" t="n">
        <v>3</v>
      </c>
      <c r="G750" s="0" t="n">
        <v>249</v>
      </c>
      <c r="H750" s="0" t="n">
        <v>0</v>
      </c>
      <c r="I750" s="3" t="s">
        <v>234</v>
      </c>
      <c r="J750" s="0" t="n">
        <v>4</v>
      </c>
      <c r="K750" s="3" t="s">
        <v>43</v>
      </c>
      <c r="L750" s="0" t="str">
        <f aca="false">VLOOKUP(D750,Products!$A$2:$D$13,2,FALSE())</f>
        <v>Accessories</v>
      </c>
      <c r="M750" s="3" t="n">
        <f aca="false">F750*G750*(1-H750/100)</f>
        <v>747</v>
      </c>
      <c r="N750" s="0" t="str">
        <f aca="false">VLOOKUP(I750,Customers!$A$2:$D$121,3,FALSE())</f>
        <v>Indore</v>
      </c>
      <c r="O750" s="0" t="str">
        <f aca="false">VLOOKUP(I750,Customers!$A$2:$D$121,4,FALSE())</f>
        <v>Retail</v>
      </c>
      <c r="P750" s="0" t="str">
        <f aca="false">TEXT(B750,"yyyy-mm")</f>
        <v>2025-04</v>
      </c>
    </row>
    <row r="751" customFormat="false" ht="15" hidden="false" customHeight="false" outlineLevel="0" collapsed="false">
      <c r="A751" s="0" t="s">
        <v>917</v>
      </c>
      <c r="B751" s="2" t="n">
        <v>45845</v>
      </c>
      <c r="C751" s="3" t="s">
        <v>17</v>
      </c>
      <c r="D751" s="3" t="s">
        <v>57</v>
      </c>
      <c r="E751" s="3" t="s">
        <v>93</v>
      </c>
      <c r="F751" s="0" t="n">
        <v>1</v>
      </c>
      <c r="G751" s="0" t="n">
        <v>549</v>
      </c>
      <c r="H751" s="0" t="n">
        <v>0</v>
      </c>
      <c r="I751" s="3" t="s">
        <v>271</v>
      </c>
      <c r="J751" s="0" t="n">
        <v>4</v>
      </c>
      <c r="K751" s="3" t="s">
        <v>34</v>
      </c>
      <c r="L751" s="0" t="str">
        <f aca="false">VLOOKUP(D751,Products!$A$2:$D$13,2,FALSE())</f>
        <v>Accessories</v>
      </c>
      <c r="M751" s="3" t="n">
        <f aca="false">F751*G751*(1-H751/100)</f>
        <v>549</v>
      </c>
      <c r="N751" s="0" t="str">
        <f aca="false">VLOOKUP(I751,Customers!$A$2:$D$121,3,FALSE())</f>
        <v>Jaipur</v>
      </c>
      <c r="O751" s="0" t="str">
        <f aca="false">VLOOKUP(I751,Customers!$A$2:$D$121,4,FALSE())</f>
        <v>Retail</v>
      </c>
      <c r="P751" s="0" t="str">
        <f aca="false">TEXT(B751,"yyyy-mm")</f>
        <v>2025-07</v>
      </c>
    </row>
    <row r="752" customFormat="false" ht="15" hidden="false" customHeight="false" outlineLevel="0" collapsed="false">
      <c r="A752" s="0" t="s">
        <v>918</v>
      </c>
      <c r="B752" s="2" t="n">
        <v>45964</v>
      </c>
      <c r="C752" s="3" t="s">
        <v>36</v>
      </c>
      <c r="D752" s="3" t="s">
        <v>32</v>
      </c>
      <c r="E752" s="3" t="s">
        <v>38</v>
      </c>
      <c r="F752" s="0" t="n">
        <v>1</v>
      </c>
      <c r="G752" s="0" t="n">
        <v>249</v>
      </c>
      <c r="H752" s="0" t="n">
        <v>0</v>
      </c>
      <c r="I752" s="3" t="s">
        <v>198</v>
      </c>
      <c r="J752" s="0" t="n">
        <v>5</v>
      </c>
      <c r="K752" s="3" t="s">
        <v>43</v>
      </c>
      <c r="L752" s="0" t="str">
        <f aca="false">VLOOKUP(D752,Products!$A$2:$D$13,2,FALSE())</f>
        <v>Accessories</v>
      </c>
      <c r="M752" s="3" t="n">
        <f aca="false">F752*G752*(1-H752/100)</f>
        <v>249</v>
      </c>
      <c r="N752" s="0" t="str">
        <f aca="false">VLOOKUP(I752,Customers!$A$2:$D$121,3,FALSE())</f>
        <v>Bhopal</v>
      </c>
      <c r="O752" s="0" t="str">
        <f aca="false">VLOOKUP(I752,Customers!$A$2:$D$121,4,FALSE())</f>
        <v>Student</v>
      </c>
      <c r="P752" s="0" t="str">
        <f aca="false">TEXT(B752,"yyyy-mm")</f>
        <v>2025-11</v>
      </c>
    </row>
    <row r="753" customFormat="false" ht="15" hidden="false" customHeight="false" outlineLevel="0" collapsed="false">
      <c r="A753" s="0" t="s">
        <v>919</v>
      </c>
      <c r="B753" s="2" t="n">
        <v>45794</v>
      </c>
      <c r="C753" s="3" t="s">
        <v>51</v>
      </c>
      <c r="D753" s="3" t="s">
        <v>18</v>
      </c>
      <c r="E753" s="3" t="s">
        <v>52</v>
      </c>
      <c r="F753" s="0" t="n">
        <v>1</v>
      </c>
      <c r="G753" s="0" t="n">
        <v>349</v>
      </c>
      <c r="H753" s="0" t="n">
        <v>15</v>
      </c>
      <c r="I753" s="3" t="s">
        <v>302</v>
      </c>
      <c r="J753" s="0" t="n">
        <v>2</v>
      </c>
      <c r="K753" s="3" t="s">
        <v>43</v>
      </c>
      <c r="L753" s="0" t="str">
        <f aca="false">VLOOKUP(D753,Products!$A$2:$D$13,2,FALSE())</f>
        <v>Home</v>
      </c>
      <c r="M753" s="3" t="n">
        <f aca="false">F753*G753*(1-H753/100)</f>
        <v>296.65</v>
      </c>
      <c r="N753" s="0" t="str">
        <f aca="false">VLOOKUP(I753,Customers!$A$2:$D$121,3,FALSE())</f>
        <v>Nagpur</v>
      </c>
      <c r="O753" s="0" t="str">
        <f aca="false">VLOOKUP(I753,Customers!$A$2:$D$121,4,FALSE())</f>
        <v>Retail</v>
      </c>
      <c r="P753" s="0" t="str">
        <f aca="false">TEXT(B753,"yyyy-mm")</f>
        <v>2025-05</v>
      </c>
    </row>
    <row r="754" customFormat="false" ht="15" hidden="false" customHeight="false" outlineLevel="0" collapsed="false">
      <c r="A754" s="0" t="s">
        <v>920</v>
      </c>
      <c r="B754" s="2" t="n">
        <v>45978</v>
      </c>
      <c r="C754" s="3" t="s">
        <v>72</v>
      </c>
      <c r="D754" s="3" t="s">
        <v>88</v>
      </c>
      <c r="E754" s="3" t="s">
        <v>89</v>
      </c>
      <c r="F754" s="0" t="n">
        <v>3</v>
      </c>
      <c r="G754" s="0" t="n">
        <v>799</v>
      </c>
      <c r="H754" s="0" t="n">
        <v>0</v>
      </c>
      <c r="I754" s="3" t="s">
        <v>221</v>
      </c>
      <c r="J754" s="0" t="n">
        <v>4</v>
      </c>
      <c r="K754" s="3" t="s">
        <v>43</v>
      </c>
      <c r="L754" s="0" t="str">
        <f aca="false">VLOOKUP(D754,Products!$A$2:$D$13,2,FALSE())</f>
        <v>Accessories</v>
      </c>
      <c r="M754" s="3" t="n">
        <f aca="false">F754*G754*(1-H754/100)</f>
        <v>2397</v>
      </c>
      <c r="N754" s="0" t="str">
        <f aca="false">VLOOKUP(I754,Customers!$A$2:$D$121,3,FALSE())</f>
        <v>Mumbai</v>
      </c>
      <c r="O754" s="0" t="str">
        <f aca="false">VLOOKUP(I754,Customers!$A$2:$D$121,4,FALSE())</f>
        <v>Retail</v>
      </c>
      <c r="P754" s="0" t="str">
        <f aca="false">TEXT(B754,"yyyy-mm")</f>
        <v>2025-11</v>
      </c>
    </row>
    <row r="755" customFormat="false" ht="15" hidden="false" customHeight="false" outlineLevel="0" collapsed="false">
      <c r="A755" s="0" t="s">
        <v>921</v>
      </c>
      <c r="B755" s="2" t="n">
        <v>45913</v>
      </c>
      <c r="C755" s="3" t="s">
        <v>72</v>
      </c>
      <c r="D755" s="3" t="s">
        <v>45</v>
      </c>
      <c r="E755" s="3" t="s">
        <v>89</v>
      </c>
      <c r="F755" s="0" t="n">
        <v>1</v>
      </c>
      <c r="G755" s="0" t="n">
        <v>30</v>
      </c>
      <c r="H755" s="0" t="n">
        <v>15</v>
      </c>
      <c r="I755" s="3" t="s">
        <v>684</v>
      </c>
      <c r="J755" s="0" t="n">
        <v>5</v>
      </c>
      <c r="K755" s="3" t="s">
        <v>21</v>
      </c>
      <c r="L755" s="0" t="str">
        <f aca="false">VLOOKUP(D755,Products!$A$2:$D$13,2,FALSE())</f>
        <v>Stationery</v>
      </c>
      <c r="M755" s="3" t="n">
        <f aca="false">F755*G755*(1-H755/100)</f>
        <v>25.5</v>
      </c>
      <c r="N755" s="0" t="str">
        <f aca="false">VLOOKUP(I755,Customers!$A$2:$D$121,3,FALSE())</f>
        <v>Nagpur</v>
      </c>
      <c r="O755" s="0" t="str">
        <f aca="false">VLOOKUP(I755,Customers!$A$2:$D$121,4,FALSE())</f>
        <v>Retail</v>
      </c>
      <c r="P755" s="0" t="str">
        <f aca="false">TEXT(B755,"yyyy-mm")</f>
        <v>2025-09</v>
      </c>
    </row>
    <row r="756" customFormat="false" ht="15" hidden="false" customHeight="false" outlineLevel="0" collapsed="false">
      <c r="A756" s="0" t="s">
        <v>922</v>
      </c>
      <c r="B756" s="2" t="n">
        <v>46109</v>
      </c>
      <c r="C756" s="3" t="s">
        <v>17</v>
      </c>
      <c r="D756" s="3" t="s">
        <v>45</v>
      </c>
      <c r="E756" s="3" t="s">
        <v>93</v>
      </c>
      <c r="F756" s="0" t="n">
        <v>2</v>
      </c>
      <c r="G756" s="0" t="n">
        <v>30</v>
      </c>
      <c r="H756" s="0" t="n">
        <v>5</v>
      </c>
      <c r="I756" s="3" t="s">
        <v>53</v>
      </c>
      <c r="J756" s="0" t="n">
        <v>4</v>
      </c>
      <c r="K756" s="3" t="s">
        <v>26</v>
      </c>
      <c r="L756" s="0" t="str">
        <f aca="false">VLOOKUP(D756,Products!$A$2:$D$13,2,FALSE())</f>
        <v>Stationery</v>
      </c>
      <c r="M756" s="3" t="n">
        <f aca="false">F756*G756*(1-H756/100)</f>
        <v>57</v>
      </c>
      <c r="N756" s="0" t="str">
        <f aca="false">VLOOKUP(I756,Customers!$A$2:$D$121,3,FALSE())</f>
        <v>Nagpur</v>
      </c>
      <c r="O756" s="0" t="str">
        <f aca="false">VLOOKUP(I756,Customers!$A$2:$D$121,4,FALSE())</f>
        <v>Retail</v>
      </c>
      <c r="P756" s="0" t="str">
        <f aca="false">TEXT(B756,"yyyy-mm")</f>
        <v>2026-03</v>
      </c>
    </row>
    <row r="757" customFormat="false" ht="15" hidden="false" customHeight="false" outlineLevel="0" collapsed="false">
      <c r="A757" s="0" t="s">
        <v>923</v>
      </c>
      <c r="B757" s="2" t="n">
        <v>45942</v>
      </c>
      <c r="C757" s="3" t="s">
        <v>23</v>
      </c>
      <c r="D757" s="3" t="s">
        <v>88</v>
      </c>
      <c r="E757" s="3" t="s">
        <v>29</v>
      </c>
      <c r="F757" s="0" t="n">
        <v>3</v>
      </c>
      <c r="G757" s="0" t="n">
        <v>799</v>
      </c>
      <c r="H757" s="0" t="n">
        <v>0</v>
      </c>
      <c r="I757" s="3" t="s">
        <v>84</v>
      </c>
      <c r="J757" s="0" t="n">
        <v>3</v>
      </c>
      <c r="K757" s="3" t="s">
        <v>26</v>
      </c>
      <c r="L757" s="0" t="str">
        <f aca="false">VLOOKUP(D757,Products!$A$2:$D$13,2,FALSE())</f>
        <v>Accessories</v>
      </c>
      <c r="M757" s="3" t="n">
        <f aca="false">F757*G757*(1-H757/100)</f>
        <v>2397</v>
      </c>
      <c r="N757" s="0" t="str">
        <f aca="false">VLOOKUP(I757,Customers!$A$2:$D$121,3,FALSE())</f>
        <v>Bhopal</v>
      </c>
      <c r="O757" s="0" t="str">
        <f aca="false">VLOOKUP(I757,Customers!$A$2:$D$121,4,FALSE())</f>
        <v>Student</v>
      </c>
      <c r="P757" s="0" t="str">
        <f aca="false">TEXT(B757,"yyyy-mm")</f>
        <v>2025-10</v>
      </c>
    </row>
    <row r="758" customFormat="false" ht="15" hidden="false" customHeight="false" outlineLevel="0" collapsed="false">
      <c r="A758" s="0" t="s">
        <v>924</v>
      </c>
      <c r="B758" s="2" t="n">
        <v>45839</v>
      </c>
      <c r="C758" s="3" t="s">
        <v>36</v>
      </c>
      <c r="D758" s="3" t="s">
        <v>108</v>
      </c>
      <c r="E758" s="3" t="s">
        <v>69</v>
      </c>
      <c r="F758" s="0" t="n">
        <v>4</v>
      </c>
      <c r="G758" s="0" t="n">
        <v>180</v>
      </c>
      <c r="H758" s="0" t="n">
        <v>15</v>
      </c>
      <c r="I758" s="3" t="s">
        <v>100</v>
      </c>
      <c r="J758" s="0" t="n">
        <v>4</v>
      </c>
      <c r="K758" s="3" t="s">
        <v>43</v>
      </c>
      <c r="L758" s="0" t="str">
        <f aca="false">VLOOKUP(D758,Products!$A$2:$D$13,2,FALSE())</f>
        <v>Stationery</v>
      </c>
      <c r="M758" s="3" t="n">
        <f aca="false">F758*G758*(1-H758/100)</f>
        <v>612</v>
      </c>
      <c r="N758" s="0" t="str">
        <f aca="false">VLOOKUP(I758,Customers!$A$2:$D$121,3,FALSE())</f>
        <v>Nagpur</v>
      </c>
      <c r="O758" s="0" t="str">
        <f aca="false">VLOOKUP(I758,Customers!$A$2:$D$121,4,FALSE())</f>
        <v>Retail</v>
      </c>
      <c r="P758" s="0" t="str">
        <f aca="false">TEXT(B758,"yyyy-mm")</f>
        <v>2025-07</v>
      </c>
    </row>
    <row r="759" customFormat="false" ht="15" hidden="false" customHeight="false" outlineLevel="0" collapsed="false">
      <c r="A759" s="0" t="s">
        <v>925</v>
      </c>
      <c r="B759" s="2" t="n">
        <v>45808</v>
      </c>
      <c r="C759" s="3" t="s">
        <v>36</v>
      </c>
      <c r="D759" s="3" t="s">
        <v>37</v>
      </c>
      <c r="E759" s="3" t="s">
        <v>69</v>
      </c>
      <c r="F759" s="0" t="n">
        <v>1</v>
      </c>
      <c r="G759" s="0" t="n">
        <v>500</v>
      </c>
      <c r="H759" s="0" t="n">
        <v>0</v>
      </c>
      <c r="I759" s="3" t="s">
        <v>273</v>
      </c>
      <c r="J759" s="0" t="n">
        <v>1</v>
      </c>
      <c r="K759" s="3" t="s">
        <v>21</v>
      </c>
      <c r="L759" s="0" t="str">
        <f aca="false">VLOOKUP(D759,Products!$A$2:$D$13,2,FALSE())</f>
        <v>Electronics</v>
      </c>
      <c r="M759" s="3" t="n">
        <f aca="false">F759*G759*(1-H759/100)</f>
        <v>500</v>
      </c>
      <c r="N759" s="0" t="str">
        <f aca="false">VLOOKUP(I759,Customers!$A$2:$D$121,3,FALSE())</f>
        <v>Jaipur</v>
      </c>
      <c r="O759" s="0" t="str">
        <f aca="false">VLOOKUP(I759,Customers!$A$2:$D$121,4,FALSE())</f>
        <v>Corporate</v>
      </c>
      <c r="P759" s="0" t="str">
        <f aca="false">TEXT(B759,"yyyy-mm")</f>
        <v>2025-05</v>
      </c>
    </row>
    <row r="760" customFormat="false" ht="15" hidden="false" customHeight="false" outlineLevel="0" collapsed="false">
      <c r="A760" s="0" t="s">
        <v>926</v>
      </c>
      <c r="B760" s="2" t="n">
        <v>46003</v>
      </c>
      <c r="C760" s="3" t="s">
        <v>51</v>
      </c>
      <c r="D760" s="3" t="s">
        <v>32</v>
      </c>
      <c r="E760" s="3" t="s">
        <v>83</v>
      </c>
      <c r="F760" s="0" t="n">
        <v>3</v>
      </c>
      <c r="G760" s="0" t="n">
        <v>249</v>
      </c>
      <c r="H760" s="0" t="n">
        <v>10</v>
      </c>
      <c r="I760" s="3" t="s">
        <v>189</v>
      </c>
      <c r="J760" s="0" t="n">
        <v>1</v>
      </c>
      <c r="K760" s="3" t="s">
        <v>26</v>
      </c>
      <c r="L760" s="0" t="str">
        <f aca="false">VLOOKUP(D760,Products!$A$2:$D$13,2,FALSE())</f>
        <v>Accessories</v>
      </c>
      <c r="M760" s="3" t="n">
        <f aca="false">F760*G760*(1-H760/100)</f>
        <v>672.3</v>
      </c>
      <c r="N760" s="0" t="str">
        <f aca="false">VLOOKUP(I760,Customers!$A$2:$D$121,3,FALSE())</f>
        <v>Bhopal</v>
      </c>
      <c r="O760" s="0" t="str">
        <f aca="false">VLOOKUP(I760,Customers!$A$2:$D$121,4,FALSE())</f>
        <v>Retail</v>
      </c>
      <c r="P760" s="0" t="str">
        <f aca="false">TEXT(B760,"yyyy-mm")</f>
        <v>2025-12</v>
      </c>
    </row>
    <row r="761" customFormat="false" ht="15" hidden="false" customHeight="false" outlineLevel="0" collapsed="false">
      <c r="A761" s="0" t="s">
        <v>927</v>
      </c>
      <c r="B761" s="2" t="n">
        <v>46085</v>
      </c>
      <c r="C761" s="3" t="s">
        <v>23</v>
      </c>
      <c r="D761" s="3" t="s">
        <v>28</v>
      </c>
      <c r="E761" s="3" t="s">
        <v>24</v>
      </c>
      <c r="F761" s="0" t="n">
        <v>1</v>
      </c>
      <c r="G761" s="0" t="n">
        <v>450</v>
      </c>
      <c r="H761" s="0" t="n">
        <v>5</v>
      </c>
      <c r="I761" s="3" t="s">
        <v>63</v>
      </c>
      <c r="J761" s="0" t="n">
        <v>4</v>
      </c>
      <c r="K761" s="3" t="s">
        <v>21</v>
      </c>
      <c r="L761" s="0" t="str">
        <f aca="false">VLOOKUP(D761,Products!$A$2:$D$13,2,FALSE())</f>
        <v>Electronics</v>
      </c>
      <c r="M761" s="3" t="n">
        <f aca="false">F761*G761*(1-H761/100)</f>
        <v>427.5</v>
      </c>
      <c r="N761" s="0" t="str">
        <f aca="false">VLOOKUP(I761,Customers!$A$2:$D$121,3,FALSE())</f>
        <v>Indore</v>
      </c>
      <c r="O761" s="0" t="str">
        <f aca="false">VLOOKUP(I761,Customers!$A$2:$D$121,4,FALSE())</f>
        <v>Student</v>
      </c>
      <c r="P761" s="0" t="str">
        <f aca="false">TEXT(B761,"yyyy-mm")</f>
        <v>2026-03</v>
      </c>
    </row>
    <row r="762" customFormat="false" ht="15" hidden="false" customHeight="false" outlineLevel="0" collapsed="false">
      <c r="A762" s="0" t="s">
        <v>928</v>
      </c>
      <c r="B762" s="2" t="n">
        <v>45890</v>
      </c>
      <c r="C762" s="3" t="s">
        <v>23</v>
      </c>
      <c r="D762" s="3" t="s">
        <v>28</v>
      </c>
      <c r="E762" s="3" t="s">
        <v>24</v>
      </c>
      <c r="F762" s="0" t="n">
        <v>4</v>
      </c>
      <c r="G762" s="0" t="n">
        <v>450</v>
      </c>
      <c r="H762" s="0" t="n">
        <v>10</v>
      </c>
      <c r="I762" s="3" t="s">
        <v>261</v>
      </c>
      <c r="J762" s="0" t="n">
        <v>4</v>
      </c>
      <c r="K762" s="3" t="s">
        <v>21</v>
      </c>
      <c r="L762" s="0" t="str">
        <f aca="false">VLOOKUP(D762,Products!$A$2:$D$13,2,FALSE())</f>
        <v>Electronics</v>
      </c>
      <c r="M762" s="3" t="n">
        <f aca="false">F762*G762*(1-H762/100)</f>
        <v>1620</v>
      </c>
      <c r="N762" s="0" t="str">
        <f aca="false">VLOOKUP(I762,Customers!$A$2:$D$121,3,FALSE())</f>
        <v>Mumbai</v>
      </c>
      <c r="O762" s="0" t="str">
        <f aca="false">VLOOKUP(I762,Customers!$A$2:$D$121,4,FALSE())</f>
        <v>Corporate</v>
      </c>
      <c r="P762" s="0" t="str">
        <f aca="false">TEXT(B762,"yyyy-mm")</f>
        <v>2025-08</v>
      </c>
    </row>
    <row r="763" customFormat="false" ht="15" hidden="false" customHeight="false" outlineLevel="0" collapsed="false">
      <c r="A763" s="0" t="s">
        <v>929</v>
      </c>
      <c r="B763" s="2" t="n">
        <v>45776</v>
      </c>
      <c r="C763" s="3" t="s">
        <v>36</v>
      </c>
      <c r="D763" s="3" t="s">
        <v>108</v>
      </c>
      <c r="E763" s="3" t="s">
        <v>38</v>
      </c>
      <c r="F763" s="0" t="n">
        <v>1</v>
      </c>
      <c r="G763" s="0" t="n">
        <v>180</v>
      </c>
      <c r="H763" s="0" t="n">
        <v>15</v>
      </c>
      <c r="I763" s="3" t="s">
        <v>141</v>
      </c>
      <c r="J763" s="0" t="n">
        <v>1</v>
      </c>
      <c r="K763" s="3" t="s">
        <v>34</v>
      </c>
      <c r="L763" s="0" t="str">
        <f aca="false">VLOOKUP(D763,Products!$A$2:$D$13,2,FALSE())</f>
        <v>Stationery</v>
      </c>
      <c r="M763" s="3" t="n">
        <f aca="false">F763*G763*(1-H763/100)</f>
        <v>153</v>
      </c>
      <c r="N763" s="0" t="str">
        <f aca="false">VLOOKUP(I763,Customers!$A$2:$D$121,3,FALSE())</f>
        <v>Bhopal</v>
      </c>
      <c r="O763" s="0" t="str">
        <f aca="false">VLOOKUP(I763,Customers!$A$2:$D$121,4,FALSE())</f>
        <v>Student</v>
      </c>
      <c r="P763" s="0" t="str">
        <f aca="false">TEXT(B763,"yyyy-mm")</f>
        <v>2025-04</v>
      </c>
    </row>
    <row r="764" customFormat="false" ht="15" hidden="false" customHeight="false" outlineLevel="0" collapsed="false">
      <c r="A764" s="0" t="s">
        <v>930</v>
      </c>
      <c r="B764" s="2" t="n">
        <v>45773</v>
      </c>
      <c r="C764" s="3" t="s">
        <v>17</v>
      </c>
      <c r="D764" s="3" t="s">
        <v>41</v>
      </c>
      <c r="E764" s="3" t="s">
        <v>19</v>
      </c>
      <c r="F764" s="0" t="n">
        <v>1</v>
      </c>
      <c r="G764" s="0" t="n">
        <v>399</v>
      </c>
      <c r="H764" s="0" t="n">
        <v>0</v>
      </c>
      <c r="I764" s="3" t="s">
        <v>322</v>
      </c>
      <c r="J764" s="0" t="n">
        <v>5</v>
      </c>
      <c r="K764" s="3" t="s">
        <v>34</v>
      </c>
      <c r="L764" s="0" t="str">
        <f aca="false">VLOOKUP(D764,Products!$A$2:$D$13,2,FALSE())</f>
        <v>Electronics</v>
      </c>
      <c r="M764" s="3" t="n">
        <f aca="false">F764*G764*(1-H764/100)</f>
        <v>399</v>
      </c>
      <c r="N764" s="0" t="str">
        <f aca="false">VLOOKUP(I764,Customers!$A$2:$D$121,3,FALSE())</f>
        <v>Kolkata</v>
      </c>
      <c r="O764" s="0" t="str">
        <f aca="false">VLOOKUP(I764,Customers!$A$2:$D$121,4,FALSE())</f>
        <v>Retail</v>
      </c>
      <c r="P764" s="0" t="str">
        <f aca="false">TEXT(B764,"yyyy-mm")</f>
        <v>2025-04</v>
      </c>
    </row>
    <row r="765" customFormat="false" ht="15" hidden="false" customHeight="false" outlineLevel="0" collapsed="false">
      <c r="A765" s="0" t="s">
        <v>931</v>
      </c>
      <c r="B765" s="2" t="n">
        <v>46041</v>
      </c>
      <c r="C765" s="3" t="s">
        <v>23</v>
      </c>
      <c r="D765" s="3" t="s">
        <v>116</v>
      </c>
      <c r="E765" s="3" t="s">
        <v>29</v>
      </c>
      <c r="F765" s="0" t="n">
        <v>3</v>
      </c>
      <c r="G765" s="0" t="n">
        <v>699</v>
      </c>
      <c r="H765" s="0" t="n">
        <v>10</v>
      </c>
      <c r="I765" s="3" t="s">
        <v>221</v>
      </c>
      <c r="J765" s="0" t="n">
        <v>5</v>
      </c>
      <c r="K765" s="3" t="s">
        <v>21</v>
      </c>
      <c r="L765" s="0" t="str">
        <f aca="false">VLOOKUP(D765,Products!$A$2:$D$13,2,FALSE())</f>
        <v>Home</v>
      </c>
      <c r="M765" s="3" t="n">
        <f aca="false">F765*G765*(1-H765/100)</f>
        <v>1887.3</v>
      </c>
      <c r="N765" s="0" t="str">
        <f aca="false">VLOOKUP(I765,Customers!$A$2:$D$121,3,FALSE())</f>
        <v>Mumbai</v>
      </c>
      <c r="O765" s="0" t="str">
        <f aca="false">VLOOKUP(I765,Customers!$A$2:$D$121,4,FALSE())</f>
        <v>Retail</v>
      </c>
      <c r="P765" s="0" t="str">
        <f aca="false">TEXT(B765,"yyyy-mm")</f>
        <v>2026-01</v>
      </c>
    </row>
    <row r="766" customFormat="false" ht="15" hidden="false" customHeight="false" outlineLevel="0" collapsed="false">
      <c r="A766" s="0" t="s">
        <v>932</v>
      </c>
      <c r="B766" s="2" t="n">
        <v>45913</v>
      </c>
      <c r="C766" s="3" t="s">
        <v>72</v>
      </c>
      <c r="D766" s="3" t="s">
        <v>45</v>
      </c>
      <c r="E766" s="3" t="s">
        <v>89</v>
      </c>
      <c r="F766" s="0" t="n">
        <v>1</v>
      </c>
      <c r="G766" s="0" t="n">
        <v>30</v>
      </c>
      <c r="H766" s="0" t="n">
        <v>0</v>
      </c>
      <c r="I766" s="3" t="s">
        <v>400</v>
      </c>
      <c r="J766" s="0" t="n">
        <v>4</v>
      </c>
      <c r="K766" s="3" t="s">
        <v>43</v>
      </c>
      <c r="L766" s="0" t="str">
        <f aca="false">VLOOKUP(D766,Products!$A$2:$D$13,2,FALSE())</f>
        <v>Stationery</v>
      </c>
      <c r="M766" s="3" t="n">
        <f aca="false">F766*G766*(1-H766/100)</f>
        <v>30</v>
      </c>
      <c r="N766" s="0" t="str">
        <f aca="false">VLOOKUP(I766,Customers!$A$2:$D$121,3,FALSE())</f>
        <v>Lucknow</v>
      </c>
      <c r="O766" s="0" t="str">
        <f aca="false">VLOOKUP(I766,Customers!$A$2:$D$121,4,FALSE())</f>
        <v>Retail</v>
      </c>
      <c r="P766" s="0" t="str">
        <f aca="false">TEXT(B766,"yyyy-mm")</f>
        <v>2025-09</v>
      </c>
    </row>
    <row r="767" customFormat="false" ht="15" hidden="false" customHeight="false" outlineLevel="0" collapsed="false">
      <c r="A767" s="0" t="s">
        <v>933</v>
      </c>
      <c r="B767" s="2" t="n">
        <v>45897</v>
      </c>
      <c r="C767" s="3" t="s">
        <v>17</v>
      </c>
      <c r="D767" s="3" t="s">
        <v>57</v>
      </c>
      <c r="E767" s="3" t="s">
        <v>93</v>
      </c>
      <c r="F767" s="0" t="n">
        <v>1</v>
      </c>
      <c r="G767" s="0" t="n">
        <v>549</v>
      </c>
      <c r="H767" s="0" t="n">
        <v>5</v>
      </c>
      <c r="I767" s="3" t="s">
        <v>291</v>
      </c>
      <c r="J767" s="0" t="n">
        <v>2</v>
      </c>
      <c r="K767" s="3" t="s">
        <v>34</v>
      </c>
      <c r="L767" s="0" t="str">
        <f aca="false">VLOOKUP(D767,Products!$A$2:$D$13,2,FALSE())</f>
        <v>Accessories</v>
      </c>
      <c r="M767" s="3" t="n">
        <f aca="false">F767*G767*(1-H767/100)</f>
        <v>521.55</v>
      </c>
      <c r="N767" s="0" t="str">
        <f aca="false">VLOOKUP(I767,Customers!$A$2:$D$121,3,FALSE())</f>
        <v>Pune</v>
      </c>
      <c r="O767" s="0" t="str">
        <f aca="false">VLOOKUP(I767,Customers!$A$2:$D$121,4,FALSE())</f>
        <v>Retail</v>
      </c>
      <c r="P767" s="0" t="str">
        <f aca="false">TEXT(B767,"yyyy-mm")</f>
        <v>2025-08</v>
      </c>
    </row>
    <row r="768" customFormat="false" ht="15" hidden="false" customHeight="false" outlineLevel="0" collapsed="false">
      <c r="A768" s="0" t="s">
        <v>934</v>
      </c>
      <c r="B768" s="2" t="n">
        <v>46016</v>
      </c>
      <c r="C768" s="3" t="s">
        <v>51</v>
      </c>
      <c r="D768" s="3" t="s">
        <v>57</v>
      </c>
      <c r="E768" s="3" t="s">
        <v>52</v>
      </c>
      <c r="F768" s="0" t="n">
        <v>3</v>
      </c>
      <c r="G768" s="0" t="n">
        <v>549</v>
      </c>
      <c r="H768" s="0" t="n">
        <v>0</v>
      </c>
      <c r="I768" s="3" t="s">
        <v>55</v>
      </c>
      <c r="J768" s="0" t="n">
        <v>3</v>
      </c>
      <c r="K768" s="3" t="s">
        <v>21</v>
      </c>
      <c r="L768" s="0" t="str">
        <f aca="false">VLOOKUP(D768,Products!$A$2:$D$13,2,FALSE())</f>
        <v>Accessories</v>
      </c>
      <c r="M768" s="3" t="n">
        <f aca="false">F768*G768*(1-H768/100)</f>
        <v>1647</v>
      </c>
      <c r="N768" s="0" t="str">
        <f aca="false">VLOOKUP(I768,Customers!$A$2:$D$121,3,FALSE())</f>
        <v>Jaipur</v>
      </c>
      <c r="O768" s="0" t="str">
        <f aca="false">VLOOKUP(I768,Customers!$A$2:$D$121,4,FALSE())</f>
        <v>Corporate</v>
      </c>
      <c r="P768" s="0" t="str">
        <f aca="false">TEXT(B768,"yyyy-mm")</f>
        <v>2025-12</v>
      </c>
    </row>
    <row r="769" customFormat="false" ht="15" hidden="false" customHeight="false" outlineLevel="0" collapsed="false">
      <c r="A769" s="0" t="s">
        <v>935</v>
      </c>
      <c r="B769" s="2" t="n">
        <v>45792</v>
      </c>
      <c r="C769" s="3" t="s">
        <v>23</v>
      </c>
      <c r="D769" s="3" t="s">
        <v>116</v>
      </c>
      <c r="E769" s="3" t="s">
        <v>29</v>
      </c>
      <c r="F769" s="0" t="n">
        <v>3</v>
      </c>
      <c r="G769" s="0" t="n">
        <v>699</v>
      </c>
      <c r="H769" s="0" t="n">
        <v>5</v>
      </c>
      <c r="I769" s="3" t="s">
        <v>284</v>
      </c>
      <c r="J769" s="0" t="n">
        <v>4</v>
      </c>
      <c r="K769" s="3" t="s">
        <v>43</v>
      </c>
      <c r="L769" s="0" t="str">
        <f aca="false">VLOOKUP(D769,Products!$A$2:$D$13,2,FALSE())</f>
        <v>Home</v>
      </c>
      <c r="M769" s="3" t="n">
        <f aca="false">F769*G769*(1-H769/100)</f>
        <v>1992.15</v>
      </c>
      <c r="N769" s="0" t="str">
        <f aca="false">VLOOKUP(I769,Customers!$A$2:$D$121,3,FALSE())</f>
        <v>Jaipur</v>
      </c>
      <c r="O769" s="0" t="str">
        <f aca="false">VLOOKUP(I769,Customers!$A$2:$D$121,4,FALSE())</f>
        <v>Retail</v>
      </c>
      <c r="P769" s="0" t="str">
        <f aca="false">TEXT(B769,"yyyy-mm")</f>
        <v>2025-05</v>
      </c>
    </row>
    <row r="770" customFormat="false" ht="15" hidden="false" customHeight="false" outlineLevel="0" collapsed="false">
      <c r="A770" s="0" t="s">
        <v>936</v>
      </c>
      <c r="B770" s="2" t="n">
        <v>46002</v>
      </c>
      <c r="C770" s="3" t="s">
        <v>23</v>
      </c>
      <c r="D770" s="3" t="s">
        <v>116</v>
      </c>
      <c r="E770" s="3" t="s">
        <v>29</v>
      </c>
      <c r="F770" s="0" t="n">
        <v>2</v>
      </c>
      <c r="G770" s="0" t="n">
        <v>699</v>
      </c>
      <c r="H770" s="0" t="n">
        <v>10</v>
      </c>
      <c r="I770" s="3" t="s">
        <v>42</v>
      </c>
      <c r="J770" s="0" t="n">
        <v>4</v>
      </c>
      <c r="K770" s="3" t="s">
        <v>26</v>
      </c>
      <c r="L770" s="0" t="str">
        <f aca="false">VLOOKUP(D770,Products!$A$2:$D$13,2,FALSE())</f>
        <v>Home</v>
      </c>
      <c r="M770" s="3" t="n">
        <f aca="false">F770*G770*(1-H770/100)</f>
        <v>1258.2</v>
      </c>
      <c r="N770" s="0" t="str">
        <f aca="false">VLOOKUP(I770,Customers!$A$2:$D$121,3,FALSE())</f>
        <v>Indore</v>
      </c>
      <c r="O770" s="0" t="str">
        <f aca="false">VLOOKUP(I770,Customers!$A$2:$D$121,4,FALSE())</f>
        <v>Retail</v>
      </c>
      <c r="P770" s="0" t="str">
        <f aca="false">TEXT(B770,"yyyy-mm")</f>
        <v>2025-12</v>
      </c>
    </row>
    <row r="771" customFormat="false" ht="15" hidden="false" customHeight="false" outlineLevel="0" collapsed="false">
      <c r="A771" s="0" t="s">
        <v>937</v>
      </c>
      <c r="B771" s="2" t="n">
        <v>46110</v>
      </c>
      <c r="C771" s="3" t="s">
        <v>36</v>
      </c>
      <c r="D771" s="3" t="s">
        <v>116</v>
      </c>
      <c r="E771" s="3" t="s">
        <v>38</v>
      </c>
      <c r="F771" s="0" t="n">
        <v>2</v>
      </c>
      <c r="G771" s="0" t="n">
        <v>699</v>
      </c>
      <c r="H771" s="0" t="n">
        <v>0</v>
      </c>
      <c r="I771" s="3" t="s">
        <v>102</v>
      </c>
      <c r="J771" s="0" t="n">
        <v>1</v>
      </c>
      <c r="K771" s="3" t="s">
        <v>43</v>
      </c>
      <c r="L771" s="0" t="str">
        <f aca="false">VLOOKUP(D771,Products!$A$2:$D$13,2,FALSE())</f>
        <v>Home</v>
      </c>
      <c r="M771" s="3" t="n">
        <f aca="false">F771*G771*(1-H771/100)</f>
        <v>1398</v>
      </c>
      <c r="N771" s="0" t="str">
        <f aca="false">VLOOKUP(I771,Customers!$A$2:$D$121,3,FALSE())</f>
        <v>Jaipur</v>
      </c>
      <c r="O771" s="0" t="str">
        <f aca="false">VLOOKUP(I771,Customers!$A$2:$D$121,4,FALSE())</f>
        <v>Corporate</v>
      </c>
      <c r="P771" s="0" t="str">
        <f aca="false">TEXT(B771,"yyyy-mm")</f>
        <v>2026-03</v>
      </c>
    </row>
    <row r="772" customFormat="false" ht="15" hidden="false" customHeight="false" outlineLevel="0" collapsed="false">
      <c r="A772" s="0" t="s">
        <v>938</v>
      </c>
      <c r="B772" s="2" t="n">
        <v>45854</v>
      </c>
      <c r="C772" s="3" t="s">
        <v>17</v>
      </c>
      <c r="D772" s="3" t="s">
        <v>18</v>
      </c>
      <c r="E772" s="3" t="s">
        <v>93</v>
      </c>
      <c r="F772" s="0" t="n">
        <v>1</v>
      </c>
      <c r="G772" s="0" t="n">
        <v>349</v>
      </c>
      <c r="H772" s="0" t="n">
        <v>10</v>
      </c>
      <c r="I772" s="3" t="s">
        <v>322</v>
      </c>
      <c r="J772" s="0" t="n">
        <v>4</v>
      </c>
      <c r="K772" s="3" t="s">
        <v>34</v>
      </c>
      <c r="L772" s="0" t="str">
        <f aca="false">VLOOKUP(D772,Products!$A$2:$D$13,2,FALSE())</f>
        <v>Home</v>
      </c>
      <c r="M772" s="3" t="n">
        <f aca="false">F772*G772*(1-H772/100)</f>
        <v>314.1</v>
      </c>
      <c r="N772" s="0" t="str">
        <f aca="false">VLOOKUP(I772,Customers!$A$2:$D$121,3,FALSE())</f>
        <v>Kolkata</v>
      </c>
      <c r="O772" s="0" t="str">
        <f aca="false">VLOOKUP(I772,Customers!$A$2:$D$121,4,FALSE())</f>
        <v>Retail</v>
      </c>
      <c r="P772" s="0" t="str">
        <f aca="false">TEXT(B772,"yyyy-mm")</f>
        <v>2025-07</v>
      </c>
    </row>
    <row r="773" customFormat="false" ht="15" hidden="false" customHeight="false" outlineLevel="0" collapsed="false">
      <c r="A773" s="0" t="s">
        <v>939</v>
      </c>
      <c r="B773" s="2" t="n">
        <v>45753</v>
      </c>
      <c r="C773" s="3" t="s">
        <v>36</v>
      </c>
      <c r="D773" s="3" t="s">
        <v>57</v>
      </c>
      <c r="E773" s="3" t="s">
        <v>69</v>
      </c>
      <c r="F773" s="0" t="n">
        <v>1</v>
      </c>
      <c r="G773" s="0" t="n">
        <v>549</v>
      </c>
      <c r="H773" s="0" t="n">
        <v>15</v>
      </c>
      <c r="I773" s="3" t="s">
        <v>273</v>
      </c>
      <c r="J773" s="0" t="n">
        <v>4</v>
      </c>
      <c r="K773" s="3" t="s">
        <v>21</v>
      </c>
      <c r="L773" s="0" t="str">
        <f aca="false">VLOOKUP(D773,Products!$A$2:$D$13,2,FALSE())</f>
        <v>Accessories</v>
      </c>
      <c r="M773" s="3" t="n">
        <f aca="false">F773*G773*(1-H773/100)</f>
        <v>466.65</v>
      </c>
      <c r="N773" s="0" t="str">
        <f aca="false">VLOOKUP(I773,Customers!$A$2:$D$121,3,FALSE())</f>
        <v>Jaipur</v>
      </c>
      <c r="O773" s="0" t="str">
        <f aca="false">VLOOKUP(I773,Customers!$A$2:$D$121,4,FALSE())</f>
        <v>Corporate</v>
      </c>
      <c r="P773" s="0" t="str">
        <f aca="false">TEXT(B773,"yyyy-mm")</f>
        <v>2025-04</v>
      </c>
    </row>
    <row r="774" customFormat="false" ht="15" hidden="false" customHeight="false" outlineLevel="0" collapsed="false">
      <c r="A774" s="0" t="s">
        <v>940</v>
      </c>
      <c r="B774" s="2" t="n">
        <v>46007</v>
      </c>
      <c r="C774" s="3" t="s">
        <v>72</v>
      </c>
      <c r="D774" s="3" t="s">
        <v>37</v>
      </c>
      <c r="E774" s="3" t="s">
        <v>89</v>
      </c>
      <c r="F774" s="0" t="n">
        <v>1</v>
      </c>
      <c r="G774" s="0" t="n">
        <v>500</v>
      </c>
      <c r="H774" s="0" t="n">
        <v>10</v>
      </c>
      <c r="I774" s="3" t="s">
        <v>150</v>
      </c>
      <c r="J774" s="0" t="n">
        <v>5</v>
      </c>
      <c r="K774" s="3" t="s">
        <v>34</v>
      </c>
      <c r="L774" s="0" t="str">
        <f aca="false">VLOOKUP(D774,Products!$A$2:$D$13,2,FALSE())</f>
        <v>Electronics</v>
      </c>
      <c r="M774" s="3" t="n">
        <f aca="false">F774*G774*(1-H774/100)</f>
        <v>450</v>
      </c>
      <c r="N774" s="0" t="str">
        <f aca="false">VLOOKUP(I774,Customers!$A$2:$D$121,3,FALSE())</f>
        <v>Indore</v>
      </c>
      <c r="O774" s="0" t="str">
        <f aca="false">VLOOKUP(I774,Customers!$A$2:$D$121,4,FALSE())</f>
        <v>Student</v>
      </c>
      <c r="P774" s="0" t="str">
        <f aca="false">TEXT(B774,"yyyy-mm")</f>
        <v>2025-12</v>
      </c>
    </row>
    <row r="775" customFormat="false" ht="15" hidden="false" customHeight="false" outlineLevel="0" collapsed="false">
      <c r="A775" s="0" t="s">
        <v>941</v>
      </c>
      <c r="B775" s="2" t="n">
        <v>46039</v>
      </c>
      <c r="C775" s="3" t="s">
        <v>51</v>
      </c>
      <c r="D775" s="3" t="s">
        <v>41</v>
      </c>
      <c r="E775" s="3" t="s">
        <v>52</v>
      </c>
      <c r="F775" s="0" t="n">
        <v>4</v>
      </c>
      <c r="G775" s="0" t="n">
        <v>399</v>
      </c>
      <c r="H775" s="0" t="n">
        <v>10</v>
      </c>
      <c r="I775" s="3" t="s">
        <v>137</v>
      </c>
      <c r="J775" s="0" t="n">
        <v>5</v>
      </c>
      <c r="K775" s="3" t="s">
        <v>34</v>
      </c>
      <c r="L775" s="0" t="str">
        <f aca="false">VLOOKUP(D775,Products!$A$2:$D$13,2,FALSE())</f>
        <v>Electronics</v>
      </c>
      <c r="M775" s="3" t="n">
        <f aca="false">F775*G775*(1-H775/100)</f>
        <v>1436.4</v>
      </c>
      <c r="N775" s="0" t="str">
        <f aca="false">VLOOKUP(I775,Customers!$A$2:$D$121,3,FALSE())</f>
        <v>Mumbai</v>
      </c>
      <c r="O775" s="0" t="str">
        <f aca="false">VLOOKUP(I775,Customers!$A$2:$D$121,4,FALSE())</f>
        <v>Corporate</v>
      </c>
      <c r="P775" s="0" t="str">
        <f aca="false">TEXT(B775,"yyyy-mm")</f>
        <v>2026-01</v>
      </c>
    </row>
    <row r="776" customFormat="false" ht="15" hidden="false" customHeight="false" outlineLevel="0" collapsed="false">
      <c r="A776" s="0" t="s">
        <v>942</v>
      </c>
      <c r="B776" s="2" t="n">
        <v>45990</v>
      </c>
      <c r="C776" s="3" t="s">
        <v>51</v>
      </c>
      <c r="D776" s="3" t="s">
        <v>41</v>
      </c>
      <c r="E776" s="3" t="s">
        <v>52</v>
      </c>
      <c r="F776" s="0" t="n">
        <v>2</v>
      </c>
      <c r="G776" s="0" t="n">
        <v>399</v>
      </c>
      <c r="H776" s="0" t="n">
        <v>0</v>
      </c>
      <c r="I776" s="3" t="s">
        <v>227</v>
      </c>
      <c r="J776" s="0" t="n">
        <v>3</v>
      </c>
      <c r="K776" s="3" t="s">
        <v>43</v>
      </c>
      <c r="L776" s="0" t="str">
        <f aca="false">VLOOKUP(D776,Products!$A$2:$D$13,2,FALSE())</f>
        <v>Electronics</v>
      </c>
      <c r="M776" s="3" t="n">
        <f aca="false">F776*G776*(1-H776/100)</f>
        <v>798</v>
      </c>
      <c r="N776" s="0" t="str">
        <f aca="false">VLOOKUP(I776,Customers!$A$2:$D$121,3,FALSE())</f>
        <v>Kolkata</v>
      </c>
      <c r="O776" s="0" t="str">
        <f aca="false">VLOOKUP(I776,Customers!$A$2:$D$121,4,FALSE())</f>
        <v>Corporate</v>
      </c>
      <c r="P776" s="0" t="str">
        <f aca="false">TEXT(B776,"yyyy-mm")</f>
        <v>2025-11</v>
      </c>
    </row>
    <row r="777" customFormat="false" ht="15" hidden="false" customHeight="false" outlineLevel="0" collapsed="false">
      <c r="A777" s="0" t="s">
        <v>943</v>
      </c>
      <c r="B777" s="2" t="n">
        <v>45984</v>
      </c>
      <c r="C777" s="3" t="s">
        <v>72</v>
      </c>
      <c r="D777" s="3" t="s">
        <v>57</v>
      </c>
      <c r="E777" s="3" t="s">
        <v>73</v>
      </c>
      <c r="F777" s="0" t="n">
        <v>1</v>
      </c>
      <c r="G777" s="0" t="n">
        <v>549</v>
      </c>
      <c r="H777" s="0" t="n">
        <v>5</v>
      </c>
      <c r="I777" s="3" t="s">
        <v>110</v>
      </c>
      <c r="J777" s="0" t="n">
        <v>5</v>
      </c>
      <c r="K777" s="3" t="s">
        <v>34</v>
      </c>
      <c r="L777" s="0" t="str">
        <f aca="false">VLOOKUP(D777,Products!$A$2:$D$13,2,FALSE())</f>
        <v>Accessories</v>
      </c>
      <c r="M777" s="3" t="n">
        <f aca="false">F777*G777*(1-H777/100)</f>
        <v>521.55</v>
      </c>
      <c r="N777" s="0" t="str">
        <f aca="false">VLOOKUP(I777,Customers!$A$2:$D$121,3,FALSE())</f>
        <v>Pune</v>
      </c>
      <c r="O777" s="0" t="str">
        <f aca="false">VLOOKUP(I777,Customers!$A$2:$D$121,4,FALSE())</f>
        <v>Retail</v>
      </c>
      <c r="P777" s="0" t="str">
        <f aca="false">TEXT(B777,"yyyy-mm")</f>
        <v>2025-11</v>
      </c>
    </row>
    <row r="778" customFormat="false" ht="15" hidden="false" customHeight="false" outlineLevel="0" collapsed="false">
      <c r="A778" s="0" t="s">
        <v>944</v>
      </c>
      <c r="B778" s="2" t="n">
        <v>45757</v>
      </c>
      <c r="C778" s="3" t="s">
        <v>23</v>
      </c>
      <c r="D778" s="3" t="s">
        <v>57</v>
      </c>
      <c r="E778" s="3" t="s">
        <v>29</v>
      </c>
      <c r="F778" s="0" t="n">
        <v>2</v>
      </c>
      <c r="G778" s="0" t="n">
        <v>549</v>
      </c>
      <c r="H778" s="0" t="n">
        <v>0</v>
      </c>
      <c r="I778" s="3" t="s">
        <v>254</v>
      </c>
      <c r="J778" s="0" t="n">
        <v>4</v>
      </c>
      <c r="K778" s="3" t="s">
        <v>21</v>
      </c>
      <c r="L778" s="0" t="str">
        <f aca="false">VLOOKUP(D778,Products!$A$2:$D$13,2,FALSE())</f>
        <v>Accessories</v>
      </c>
      <c r="M778" s="3" t="n">
        <f aca="false">F778*G778*(1-H778/100)</f>
        <v>1098</v>
      </c>
      <c r="N778" s="0" t="str">
        <f aca="false">VLOOKUP(I778,Customers!$A$2:$D$121,3,FALSE())</f>
        <v>Pune</v>
      </c>
      <c r="O778" s="0" t="str">
        <f aca="false">VLOOKUP(I778,Customers!$A$2:$D$121,4,FALSE())</f>
        <v>Student</v>
      </c>
      <c r="P778" s="0" t="str">
        <f aca="false">TEXT(B778,"yyyy-mm")</f>
        <v>2025-04</v>
      </c>
    </row>
    <row r="779" customFormat="false" ht="15" hidden="false" customHeight="false" outlineLevel="0" collapsed="false">
      <c r="A779" s="0" t="s">
        <v>945</v>
      </c>
      <c r="B779" s="2" t="n">
        <v>45763</v>
      </c>
      <c r="C779" s="3" t="s">
        <v>72</v>
      </c>
      <c r="D779" s="3" t="s">
        <v>108</v>
      </c>
      <c r="E779" s="3" t="s">
        <v>89</v>
      </c>
      <c r="F779" s="0" t="n">
        <v>5</v>
      </c>
      <c r="G779" s="0" t="n">
        <v>180</v>
      </c>
      <c r="H779" s="0" t="n">
        <v>0</v>
      </c>
      <c r="I779" s="3" t="s">
        <v>58</v>
      </c>
      <c r="J779" s="3" t="s">
        <v>416</v>
      </c>
      <c r="K779" s="3" t="s">
        <v>43</v>
      </c>
      <c r="L779" s="0" t="str">
        <f aca="false">VLOOKUP(D779,Products!$A$2:$D$13,2,FALSE())</f>
        <v>Stationery</v>
      </c>
      <c r="M779" s="3" t="n">
        <f aca="false">F779*G779*(1-H779/100)</f>
        <v>900</v>
      </c>
      <c r="N779" s="0" t="str">
        <f aca="false">VLOOKUP(I779,Customers!$A$2:$D$121,3,FALSE())</f>
        <v>Kolkata</v>
      </c>
      <c r="O779" s="0" t="str">
        <f aca="false">VLOOKUP(I779,Customers!$A$2:$D$121,4,FALSE())</f>
        <v>Corporate</v>
      </c>
      <c r="P779" s="0" t="str">
        <f aca="false">TEXT(B779,"yyyy-mm")</f>
        <v>2025-04</v>
      </c>
    </row>
    <row r="780" customFormat="false" ht="15" hidden="false" customHeight="false" outlineLevel="0" collapsed="false">
      <c r="A780" s="0" t="s">
        <v>946</v>
      </c>
      <c r="B780" s="2" t="n">
        <v>45807</v>
      </c>
      <c r="C780" s="3" t="s">
        <v>23</v>
      </c>
      <c r="D780" s="3" t="s">
        <v>108</v>
      </c>
      <c r="E780" s="3" t="s">
        <v>24</v>
      </c>
      <c r="F780" s="0" t="n">
        <v>1</v>
      </c>
      <c r="G780" s="0" t="n">
        <v>180</v>
      </c>
      <c r="H780" s="0" t="n">
        <v>0</v>
      </c>
      <c r="I780" s="3" t="s">
        <v>346</v>
      </c>
      <c r="J780" s="0" t="n">
        <v>5</v>
      </c>
      <c r="K780" s="3" t="s">
        <v>34</v>
      </c>
      <c r="L780" s="0" t="str">
        <f aca="false">VLOOKUP(D780,Products!$A$2:$D$13,2,FALSE())</f>
        <v>Stationery</v>
      </c>
      <c r="M780" s="3" t="n">
        <f aca="false">F780*G780*(1-H780/100)</f>
        <v>180</v>
      </c>
      <c r="N780" s="0" t="str">
        <f aca="false">VLOOKUP(I780,Customers!$A$2:$D$121,3,FALSE())</f>
        <v>Delhi</v>
      </c>
      <c r="O780" s="0" t="str">
        <f aca="false">VLOOKUP(I780,Customers!$A$2:$D$121,4,FALSE())</f>
        <v>Student</v>
      </c>
      <c r="P780" s="0" t="str">
        <f aca="false">TEXT(B780,"yyyy-mm")</f>
        <v>2025-05</v>
      </c>
    </row>
    <row r="781" customFormat="false" ht="15" hidden="false" customHeight="false" outlineLevel="0" collapsed="false">
      <c r="A781" s="0" t="s">
        <v>947</v>
      </c>
      <c r="B781" s="2" t="n">
        <v>46002</v>
      </c>
      <c r="C781" s="3" t="s">
        <v>17</v>
      </c>
      <c r="D781" s="3" t="s">
        <v>88</v>
      </c>
      <c r="E781" s="3" t="s">
        <v>93</v>
      </c>
      <c r="F781" s="0" t="n">
        <v>2</v>
      </c>
      <c r="G781" s="0" t="n">
        <v>799</v>
      </c>
      <c r="H781" s="0" t="n">
        <v>0</v>
      </c>
      <c r="I781" s="3" t="s">
        <v>317</v>
      </c>
      <c r="J781" s="0" t="n">
        <v>4</v>
      </c>
      <c r="K781" s="3" t="s">
        <v>26</v>
      </c>
      <c r="L781" s="0" t="str">
        <f aca="false">VLOOKUP(D781,Products!$A$2:$D$13,2,FALSE())</f>
        <v>Accessories</v>
      </c>
      <c r="M781" s="3" t="n">
        <f aca="false">F781*G781*(1-H781/100)</f>
        <v>1598</v>
      </c>
      <c r="N781" s="0" t="str">
        <f aca="false">VLOOKUP(I781,Customers!$A$2:$D$121,3,FALSE())</f>
        <v>Jaipur</v>
      </c>
      <c r="O781" s="0" t="str">
        <f aca="false">VLOOKUP(I781,Customers!$A$2:$D$121,4,FALSE())</f>
        <v>Student</v>
      </c>
      <c r="P781" s="0" t="str">
        <f aca="false">TEXT(B781,"yyyy-mm")</f>
        <v>2025-12</v>
      </c>
    </row>
    <row r="782" customFormat="false" ht="15" hidden="false" customHeight="false" outlineLevel="0" collapsed="false">
      <c r="A782" s="0" t="s">
        <v>948</v>
      </c>
      <c r="B782" s="2" t="n">
        <v>45837</v>
      </c>
      <c r="C782" s="3" t="s">
        <v>72</v>
      </c>
      <c r="D782" s="3" t="s">
        <v>57</v>
      </c>
      <c r="E782" s="3" t="s">
        <v>89</v>
      </c>
      <c r="F782" s="0" t="n">
        <v>2</v>
      </c>
      <c r="G782" s="0" t="n">
        <v>549</v>
      </c>
      <c r="H782" s="0" t="n">
        <v>0</v>
      </c>
      <c r="I782" s="3" t="s">
        <v>317</v>
      </c>
      <c r="J782" s="0" t="n">
        <v>5</v>
      </c>
      <c r="K782" s="3" t="s">
        <v>21</v>
      </c>
      <c r="L782" s="0" t="str">
        <f aca="false">VLOOKUP(D782,Products!$A$2:$D$13,2,FALSE())</f>
        <v>Accessories</v>
      </c>
      <c r="M782" s="3" t="n">
        <f aca="false">F782*G782*(1-H782/100)</f>
        <v>1098</v>
      </c>
      <c r="N782" s="0" t="str">
        <f aca="false">VLOOKUP(I782,Customers!$A$2:$D$121,3,FALSE())</f>
        <v>Jaipur</v>
      </c>
      <c r="O782" s="0" t="str">
        <f aca="false">VLOOKUP(I782,Customers!$A$2:$D$121,4,FALSE())</f>
        <v>Student</v>
      </c>
      <c r="P782" s="0" t="str">
        <f aca="false">TEXT(B782,"yyyy-mm")</f>
        <v>2025-06</v>
      </c>
    </row>
    <row r="783" customFormat="false" ht="15" hidden="false" customHeight="false" outlineLevel="0" collapsed="false">
      <c r="A783" s="0" t="s">
        <v>949</v>
      </c>
      <c r="B783" s="2" t="n">
        <v>45760</v>
      </c>
      <c r="C783" s="3" t="s">
        <v>23</v>
      </c>
      <c r="D783" s="3" t="s">
        <v>32</v>
      </c>
      <c r="E783" s="3" t="s">
        <v>24</v>
      </c>
      <c r="F783" s="0" t="n">
        <v>2</v>
      </c>
      <c r="G783" s="0" t="n">
        <v>249</v>
      </c>
      <c r="H783" s="0" t="n">
        <v>5</v>
      </c>
      <c r="I783" s="3" t="s">
        <v>94</v>
      </c>
      <c r="J783" s="0" t="n">
        <v>4</v>
      </c>
      <c r="K783" s="3" t="s">
        <v>34</v>
      </c>
      <c r="L783" s="0" t="str">
        <f aca="false">VLOOKUP(D783,Products!$A$2:$D$13,2,FALSE())</f>
        <v>Accessories</v>
      </c>
      <c r="M783" s="3" t="n">
        <f aca="false">F783*G783*(1-H783/100)</f>
        <v>473.1</v>
      </c>
      <c r="N783" s="0" t="str">
        <f aca="false">VLOOKUP(I783,Customers!$A$2:$D$121,3,FALSE())</f>
        <v>Chennai</v>
      </c>
      <c r="O783" s="0" t="str">
        <f aca="false">VLOOKUP(I783,Customers!$A$2:$D$121,4,FALSE())</f>
        <v>Corporate</v>
      </c>
      <c r="P783" s="0" t="str">
        <f aca="false">TEXT(B783,"yyyy-mm")</f>
        <v>2025-04</v>
      </c>
    </row>
    <row r="784" customFormat="false" ht="15" hidden="false" customHeight="false" outlineLevel="0" collapsed="false">
      <c r="A784" s="0" t="s">
        <v>950</v>
      </c>
      <c r="B784" s="2" t="n">
        <v>45906</v>
      </c>
      <c r="C784" s="3" t="s">
        <v>23</v>
      </c>
      <c r="D784" s="3" t="s">
        <v>32</v>
      </c>
      <c r="E784" s="3" t="s">
        <v>24</v>
      </c>
      <c r="F784" s="0" t="n">
        <v>1</v>
      </c>
      <c r="G784" s="0" t="n">
        <v>249</v>
      </c>
      <c r="H784" s="0" t="n">
        <v>0</v>
      </c>
      <c r="I784" s="3" t="s">
        <v>258</v>
      </c>
      <c r="J784" s="0" t="n">
        <v>5</v>
      </c>
      <c r="K784" s="3" t="s">
        <v>26</v>
      </c>
      <c r="L784" s="0" t="str">
        <f aca="false">VLOOKUP(D784,Products!$A$2:$D$13,2,FALSE())</f>
        <v>Accessories</v>
      </c>
      <c r="M784" s="3" t="n">
        <f aca="false">F784*G784*(1-H784/100)</f>
        <v>249</v>
      </c>
      <c r="N784" s="0" t="str">
        <f aca="false">VLOOKUP(I784,Customers!$A$2:$D$121,3,FALSE())</f>
        <v>Kolkata</v>
      </c>
      <c r="O784" s="0" t="str">
        <f aca="false">VLOOKUP(I784,Customers!$A$2:$D$121,4,FALSE())</f>
        <v>Student</v>
      </c>
      <c r="P784" s="0" t="str">
        <f aca="false">TEXT(B784,"yyyy-mm")</f>
        <v>2025-09</v>
      </c>
    </row>
    <row r="785" customFormat="false" ht="15" hidden="false" customHeight="false" outlineLevel="0" collapsed="false">
      <c r="A785" s="0" t="s">
        <v>951</v>
      </c>
      <c r="B785" s="2" t="n">
        <v>45983</v>
      </c>
      <c r="C785" s="3" t="s">
        <v>17</v>
      </c>
      <c r="D785" s="3" t="s">
        <v>28</v>
      </c>
      <c r="E785" s="3" t="s">
        <v>19</v>
      </c>
      <c r="F785" s="0" t="n">
        <v>4</v>
      </c>
      <c r="G785" s="0" t="n">
        <v>450</v>
      </c>
      <c r="H785" s="0" t="n">
        <v>5</v>
      </c>
      <c r="I785" s="3" t="s">
        <v>375</v>
      </c>
      <c r="J785" s="0" t="n">
        <v>5</v>
      </c>
      <c r="K785" s="3" t="s">
        <v>21</v>
      </c>
      <c r="L785" s="0" t="str">
        <f aca="false">VLOOKUP(D785,Products!$A$2:$D$13,2,FALSE())</f>
        <v>Electronics</v>
      </c>
      <c r="M785" s="3" t="n">
        <f aca="false">F785*G785*(1-H785/100)</f>
        <v>1710</v>
      </c>
      <c r="N785" s="0" t="str">
        <f aca="false">VLOOKUP(I785,Customers!$A$2:$D$121,3,FALSE())</f>
        <v>Mumbai</v>
      </c>
      <c r="O785" s="0" t="str">
        <f aca="false">VLOOKUP(I785,Customers!$A$2:$D$121,4,FALSE())</f>
        <v>Student</v>
      </c>
      <c r="P785" s="0" t="str">
        <f aca="false">TEXT(B785,"yyyy-mm")</f>
        <v>2025-11</v>
      </c>
    </row>
    <row r="786" customFormat="false" ht="15" hidden="false" customHeight="false" outlineLevel="0" collapsed="false">
      <c r="A786" s="0" t="s">
        <v>952</v>
      </c>
      <c r="B786" s="2" t="n">
        <v>46099</v>
      </c>
      <c r="C786" s="3" t="s">
        <v>17</v>
      </c>
      <c r="D786" s="3" t="s">
        <v>37</v>
      </c>
      <c r="E786" s="3" t="s">
        <v>93</v>
      </c>
      <c r="F786" s="0" t="n">
        <v>5</v>
      </c>
      <c r="G786" s="0" t="n">
        <v>500</v>
      </c>
      <c r="H786" s="0" t="n">
        <v>10</v>
      </c>
      <c r="I786" s="3" t="s">
        <v>264</v>
      </c>
      <c r="J786" s="0" t="n">
        <v>2</v>
      </c>
      <c r="K786" s="3" t="s">
        <v>21</v>
      </c>
      <c r="L786" s="0" t="str">
        <f aca="false">VLOOKUP(D786,Products!$A$2:$D$13,2,FALSE())</f>
        <v>Electronics</v>
      </c>
      <c r="M786" s="3" t="n">
        <f aca="false">F786*G786*(1-H786/100)</f>
        <v>2250</v>
      </c>
      <c r="N786" s="0" t="str">
        <f aca="false">VLOOKUP(I786,Customers!$A$2:$D$121,3,FALSE())</f>
        <v>Kolkata</v>
      </c>
      <c r="O786" s="0" t="str">
        <f aca="false">VLOOKUP(I786,Customers!$A$2:$D$121,4,FALSE())</f>
        <v>Student</v>
      </c>
      <c r="P786" s="0" t="str">
        <f aca="false">TEXT(B786,"yyyy-mm")</f>
        <v>2026-03</v>
      </c>
    </row>
    <row r="787" customFormat="false" ht="15" hidden="false" customHeight="false" outlineLevel="0" collapsed="false">
      <c r="A787" s="0" t="s">
        <v>953</v>
      </c>
      <c r="B787" s="2" t="n">
        <v>46085</v>
      </c>
      <c r="C787" s="3" t="s">
        <v>23</v>
      </c>
      <c r="D787" s="3" t="s">
        <v>45</v>
      </c>
      <c r="E787" s="3" t="s">
        <v>29</v>
      </c>
      <c r="F787" s="0" t="n">
        <v>2</v>
      </c>
      <c r="G787" s="0" t="n">
        <v>30</v>
      </c>
      <c r="H787" s="0" t="n">
        <v>15</v>
      </c>
      <c r="I787" s="3" t="s">
        <v>351</v>
      </c>
      <c r="J787" s="0" t="n">
        <v>1</v>
      </c>
      <c r="K787" s="3" t="s">
        <v>26</v>
      </c>
      <c r="L787" s="0" t="str">
        <f aca="false">VLOOKUP(D787,Products!$A$2:$D$13,2,FALSE())</f>
        <v>Stationery</v>
      </c>
      <c r="M787" s="3" t="n">
        <f aca="false">F787*G787*(1-H787/100)</f>
        <v>51</v>
      </c>
      <c r="N787" s="0" t="str">
        <f aca="false">VLOOKUP(I787,Customers!$A$2:$D$121,3,FALSE())</f>
        <v>Nagpur</v>
      </c>
      <c r="O787" s="0" t="str">
        <f aca="false">VLOOKUP(I787,Customers!$A$2:$D$121,4,FALSE())</f>
        <v>Student</v>
      </c>
      <c r="P787" s="0" t="str">
        <f aca="false">TEXT(B787,"yyyy-mm")</f>
        <v>2026-03</v>
      </c>
    </row>
    <row r="788" customFormat="false" ht="15" hidden="false" customHeight="false" outlineLevel="0" collapsed="false">
      <c r="A788" s="0" t="s">
        <v>954</v>
      </c>
      <c r="B788" s="2" t="n">
        <v>45846</v>
      </c>
      <c r="C788" s="3" t="s">
        <v>36</v>
      </c>
      <c r="D788" s="3" t="s">
        <v>41</v>
      </c>
      <c r="E788" s="3" t="s">
        <v>69</v>
      </c>
      <c r="F788" s="0" t="n">
        <v>2</v>
      </c>
      <c r="G788" s="0" t="n">
        <v>399</v>
      </c>
      <c r="H788" s="0" t="n">
        <v>0</v>
      </c>
      <c r="I788" s="3" t="s">
        <v>20</v>
      </c>
      <c r="J788" s="0" t="n">
        <v>4</v>
      </c>
      <c r="K788" s="3" t="s">
        <v>21</v>
      </c>
      <c r="L788" s="0" t="str">
        <f aca="false">VLOOKUP(D788,Products!$A$2:$D$13,2,FALSE())</f>
        <v>Electronics</v>
      </c>
      <c r="M788" s="3" t="n">
        <f aca="false">F788*G788*(1-H788/100)</f>
        <v>798</v>
      </c>
      <c r="N788" s="0" t="str">
        <f aca="false">VLOOKUP(I788,Customers!$A$2:$D$121,3,FALSE())</f>
        <v>Mumbai</v>
      </c>
      <c r="O788" s="0" t="str">
        <f aca="false">VLOOKUP(I788,Customers!$A$2:$D$121,4,FALSE())</f>
        <v>Student</v>
      </c>
      <c r="P788" s="0" t="str">
        <f aca="false">TEXT(B788,"yyyy-mm")</f>
        <v>2025-07</v>
      </c>
    </row>
    <row r="789" customFormat="false" ht="15" hidden="false" customHeight="false" outlineLevel="0" collapsed="false">
      <c r="A789" s="0" t="s">
        <v>955</v>
      </c>
      <c r="B789" s="2" t="n">
        <v>45828</v>
      </c>
      <c r="C789" s="3" t="s">
        <v>36</v>
      </c>
      <c r="D789" s="3" t="s">
        <v>37</v>
      </c>
      <c r="E789" s="3" t="s">
        <v>38</v>
      </c>
      <c r="F789" s="0" t="n">
        <v>5</v>
      </c>
      <c r="G789" s="0" t="n">
        <v>500</v>
      </c>
      <c r="H789" s="0" t="n">
        <v>0</v>
      </c>
      <c r="I789" s="3" t="s">
        <v>534</v>
      </c>
      <c r="J789" s="0" t="n">
        <v>1</v>
      </c>
      <c r="K789" s="3" t="s">
        <v>26</v>
      </c>
      <c r="L789" s="0" t="str">
        <f aca="false">VLOOKUP(D789,Products!$A$2:$D$13,2,FALSE())</f>
        <v>Electronics</v>
      </c>
      <c r="M789" s="3" t="n">
        <f aca="false">F789*G789*(1-H789/100)</f>
        <v>2500</v>
      </c>
      <c r="N789" s="0" t="str">
        <f aca="false">VLOOKUP(I789,Customers!$A$2:$D$121,3,FALSE())</f>
        <v>Chennai</v>
      </c>
      <c r="O789" s="0" t="str">
        <f aca="false">VLOOKUP(I789,Customers!$A$2:$D$121,4,FALSE())</f>
        <v>Student</v>
      </c>
      <c r="P789" s="0" t="str">
        <f aca="false">TEXT(B789,"yyyy-mm")</f>
        <v>2025-06</v>
      </c>
    </row>
    <row r="790" customFormat="false" ht="15" hidden="false" customHeight="false" outlineLevel="0" collapsed="false">
      <c r="A790" s="0" t="s">
        <v>956</v>
      </c>
      <c r="B790" s="2" t="n">
        <v>46029</v>
      </c>
      <c r="C790" s="3" t="s">
        <v>72</v>
      </c>
      <c r="D790" s="3" t="s">
        <v>57</v>
      </c>
      <c r="E790" s="3" t="s">
        <v>73</v>
      </c>
      <c r="F790" s="0" t="n">
        <v>3</v>
      </c>
      <c r="G790" s="0" t="n">
        <v>549</v>
      </c>
      <c r="H790" s="0" t="n">
        <v>0</v>
      </c>
      <c r="I790" s="3" t="s">
        <v>195</v>
      </c>
      <c r="J790" s="0" t="n">
        <v>3</v>
      </c>
      <c r="K790" s="3" t="s">
        <v>26</v>
      </c>
      <c r="L790" s="0" t="str">
        <f aca="false">VLOOKUP(D790,Products!$A$2:$D$13,2,FALSE())</f>
        <v>Accessories</v>
      </c>
      <c r="M790" s="3" t="n">
        <f aca="false">F790*G790*(1-H790/100)</f>
        <v>1647</v>
      </c>
      <c r="N790" s="0" t="str">
        <f aca="false">VLOOKUP(I790,Customers!$A$2:$D$121,3,FALSE())</f>
        <v>Pune</v>
      </c>
      <c r="O790" s="0" t="str">
        <f aca="false">VLOOKUP(I790,Customers!$A$2:$D$121,4,FALSE())</f>
        <v>Student</v>
      </c>
      <c r="P790" s="0" t="str">
        <f aca="false">TEXT(B790,"yyyy-mm")</f>
        <v>2026-01</v>
      </c>
    </row>
    <row r="791" customFormat="false" ht="15" hidden="false" customHeight="false" outlineLevel="0" collapsed="false">
      <c r="A791" s="0" t="s">
        <v>957</v>
      </c>
      <c r="B791" s="2" t="n">
        <v>45907</v>
      </c>
      <c r="C791" s="3" t="s">
        <v>17</v>
      </c>
      <c r="D791" s="3" t="s">
        <v>108</v>
      </c>
      <c r="E791" s="3" t="s">
        <v>93</v>
      </c>
      <c r="F791" s="0" t="n">
        <v>1</v>
      </c>
      <c r="G791" s="0" t="n">
        <v>180</v>
      </c>
      <c r="H791" s="0" t="n">
        <v>10</v>
      </c>
      <c r="I791" s="3" t="s">
        <v>400</v>
      </c>
      <c r="J791" s="0" t="n">
        <v>4</v>
      </c>
      <c r="K791" s="3" t="s">
        <v>21</v>
      </c>
      <c r="L791" s="0" t="str">
        <f aca="false">VLOOKUP(D791,Products!$A$2:$D$13,2,FALSE())</f>
        <v>Stationery</v>
      </c>
      <c r="M791" s="3" t="n">
        <f aca="false">F791*G791*(1-H791/100)</f>
        <v>162</v>
      </c>
      <c r="N791" s="0" t="str">
        <f aca="false">VLOOKUP(I791,Customers!$A$2:$D$121,3,FALSE())</f>
        <v>Lucknow</v>
      </c>
      <c r="O791" s="0" t="str">
        <f aca="false">VLOOKUP(I791,Customers!$A$2:$D$121,4,FALSE())</f>
        <v>Retail</v>
      </c>
      <c r="P791" s="0" t="str">
        <f aca="false">TEXT(B791,"yyyy-mm")</f>
        <v>2025-09</v>
      </c>
    </row>
    <row r="792" customFormat="false" ht="15" hidden="false" customHeight="false" outlineLevel="0" collapsed="false">
      <c r="A792" s="0" t="s">
        <v>958</v>
      </c>
      <c r="B792" s="2" t="n">
        <v>45989</v>
      </c>
      <c r="C792" s="3" t="s">
        <v>17</v>
      </c>
      <c r="D792" s="3" t="s">
        <v>108</v>
      </c>
      <c r="E792" s="3" t="s">
        <v>19</v>
      </c>
      <c r="F792" s="0" t="n">
        <v>2</v>
      </c>
      <c r="G792" s="0" t="n">
        <v>180</v>
      </c>
      <c r="H792" s="0" t="n">
        <v>15</v>
      </c>
      <c r="I792" s="3" t="s">
        <v>100</v>
      </c>
      <c r="J792" s="0" t="n">
        <v>2</v>
      </c>
      <c r="K792" s="3" t="s">
        <v>21</v>
      </c>
      <c r="L792" s="0" t="str">
        <f aca="false">VLOOKUP(D792,Products!$A$2:$D$13,2,FALSE())</f>
        <v>Stationery</v>
      </c>
      <c r="M792" s="3" t="n">
        <f aca="false">F792*G792*(1-H792/100)</f>
        <v>306</v>
      </c>
      <c r="N792" s="0" t="str">
        <f aca="false">VLOOKUP(I792,Customers!$A$2:$D$121,3,FALSE())</f>
        <v>Nagpur</v>
      </c>
      <c r="O792" s="0" t="str">
        <f aca="false">VLOOKUP(I792,Customers!$A$2:$D$121,4,FALSE())</f>
        <v>Retail</v>
      </c>
      <c r="P792" s="0" t="str">
        <f aca="false">TEXT(B792,"yyyy-mm")</f>
        <v>2025-11</v>
      </c>
    </row>
    <row r="793" customFormat="false" ht="15" hidden="false" customHeight="false" outlineLevel="0" collapsed="false">
      <c r="A793" s="0" t="s">
        <v>959</v>
      </c>
      <c r="B793" s="2" t="n">
        <v>45839</v>
      </c>
      <c r="C793" s="3" t="s">
        <v>51</v>
      </c>
      <c r="D793" s="3" t="s">
        <v>88</v>
      </c>
      <c r="E793" s="3" t="s">
        <v>83</v>
      </c>
      <c r="F793" s="0" t="n">
        <v>2</v>
      </c>
      <c r="G793" s="0" t="n">
        <v>799</v>
      </c>
      <c r="H793" s="0" t="n">
        <v>15</v>
      </c>
      <c r="I793" s="3" t="s">
        <v>70</v>
      </c>
      <c r="J793" s="0" t="n">
        <v>5</v>
      </c>
      <c r="K793" s="3" t="s">
        <v>34</v>
      </c>
      <c r="L793" s="0" t="str">
        <f aca="false">VLOOKUP(D793,Products!$A$2:$D$13,2,FALSE())</f>
        <v>Accessories</v>
      </c>
      <c r="M793" s="3" t="n">
        <f aca="false">F793*G793*(1-H793/100)</f>
        <v>1358.3</v>
      </c>
      <c r="N793" s="0" t="str">
        <f aca="false">VLOOKUP(I793,Customers!$A$2:$D$121,3,FALSE())</f>
        <v>Bhopal</v>
      </c>
      <c r="O793" s="0" t="str">
        <f aca="false">VLOOKUP(I793,Customers!$A$2:$D$121,4,FALSE())</f>
        <v>Retail</v>
      </c>
      <c r="P793" s="0" t="str">
        <f aca="false">TEXT(B793,"yyyy-mm")</f>
        <v>2025-07</v>
      </c>
    </row>
    <row r="794" customFormat="false" ht="15" hidden="false" customHeight="false" outlineLevel="0" collapsed="false">
      <c r="A794" s="0" t="s">
        <v>960</v>
      </c>
      <c r="B794" s="2" t="n">
        <v>45849</v>
      </c>
      <c r="C794" s="3" t="s">
        <v>72</v>
      </c>
      <c r="D794" s="3" t="s">
        <v>37</v>
      </c>
      <c r="E794" s="3" t="s">
        <v>89</v>
      </c>
      <c r="F794" s="0" t="n">
        <v>1</v>
      </c>
      <c r="G794" s="0" t="n">
        <v>500</v>
      </c>
      <c r="H794" s="0" t="n">
        <v>15</v>
      </c>
      <c r="I794" s="3" t="s">
        <v>33</v>
      </c>
      <c r="J794" s="0" t="n">
        <v>4</v>
      </c>
      <c r="K794" s="3" t="s">
        <v>43</v>
      </c>
      <c r="L794" s="0" t="str">
        <f aca="false">VLOOKUP(D794,Products!$A$2:$D$13,2,FALSE())</f>
        <v>Electronics</v>
      </c>
      <c r="M794" s="3" t="n">
        <f aca="false">F794*G794*(1-H794/100)</f>
        <v>425</v>
      </c>
      <c r="N794" s="0" t="str">
        <f aca="false">VLOOKUP(I794,Customers!$A$2:$D$121,3,FALSE())</f>
        <v>Indore</v>
      </c>
      <c r="O794" s="0" t="str">
        <f aca="false">VLOOKUP(I794,Customers!$A$2:$D$121,4,FALSE())</f>
        <v>Corporate</v>
      </c>
      <c r="P794" s="0" t="str">
        <f aca="false">TEXT(B794,"yyyy-mm")</f>
        <v>2025-07</v>
      </c>
    </row>
    <row r="795" customFormat="false" ht="15" hidden="false" customHeight="false" outlineLevel="0" collapsed="false">
      <c r="A795" s="0" t="s">
        <v>961</v>
      </c>
      <c r="B795" s="2" t="n">
        <v>45795</v>
      </c>
      <c r="C795" s="3" t="s">
        <v>36</v>
      </c>
      <c r="D795" s="3" t="s">
        <v>116</v>
      </c>
      <c r="E795" s="3" t="s">
        <v>69</v>
      </c>
      <c r="F795" s="0" t="n">
        <v>3</v>
      </c>
      <c r="G795" s="0" t="n">
        <v>699</v>
      </c>
      <c r="H795" s="0" t="n">
        <v>15</v>
      </c>
      <c r="I795" s="3" t="s">
        <v>163</v>
      </c>
      <c r="J795" s="0" t="n">
        <v>2</v>
      </c>
      <c r="K795" s="3" t="s">
        <v>43</v>
      </c>
      <c r="L795" s="0" t="str">
        <f aca="false">VLOOKUP(D795,Products!$A$2:$D$13,2,FALSE())</f>
        <v>Home</v>
      </c>
      <c r="M795" s="3" t="n">
        <f aca="false">F795*G795*(1-H795/100)</f>
        <v>1782.45</v>
      </c>
      <c r="N795" s="0" t="str">
        <f aca="false">VLOOKUP(I795,Customers!$A$2:$D$121,3,FALSE())</f>
        <v>Kolkata</v>
      </c>
      <c r="O795" s="0" t="str">
        <f aca="false">VLOOKUP(I795,Customers!$A$2:$D$121,4,FALSE())</f>
        <v>Student</v>
      </c>
      <c r="P795" s="0" t="str">
        <f aca="false">TEXT(B795,"yyyy-mm")</f>
        <v>2025-05</v>
      </c>
    </row>
    <row r="796" customFormat="false" ht="15" hidden="false" customHeight="false" outlineLevel="0" collapsed="false">
      <c r="A796" s="0" t="s">
        <v>962</v>
      </c>
      <c r="B796" s="2" t="n">
        <v>45862</v>
      </c>
      <c r="C796" s="3" t="s">
        <v>36</v>
      </c>
      <c r="D796" s="3" t="s">
        <v>32</v>
      </c>
      <c r="E796" s="3" t="s">
        <v>69</v>
      </c>
      <c r="F796" s="0" t="n">
        <v>5</v>
      </c>
      <c r="G796" s="0" t="n">
        <v>249</v>
      </c>
      <c r="H796" s="0" t="n">
        <v>0</v>
      </c>
      <c r="I796" s="3" t="s">
        <v>548</v>
      </c>
      <c r="J796" s="0" t="n">
        <v>5</v>
      </c>
      <c r="K796" s="3" t="s">
        <v>34</v>
      </c>
      <c r="L796" s="0" t="str">
        <f aca="false">VLOOKUP(D796,Products!$A$2:$D$13,2,FALSE())</f>
        <v>Accessories</v>
      </c>
      <c r="M796" s="3" t="n">
        <f aca="false">F796*G796*(1-H796/100)</f>
        <v>1245</v>
      </c>
      <c r="N796" s="0" t="str">
        <f aca="false">VLOOKUP(I796,Customers!$A$2:$D$121,3,FALSE())</f>
        <v>Delhi</v>
      </c>
      <c r="O796" s="0" t="str">
        <f aca="false">VLOOKUP(I796,Customers!$A$2:$D$121,4,FALSE())</f>
        <v>Corporate</v>
      </c>
      <c r="P796" s="0" t="str">
        <f aca="false">TEXT(B796,"yyyy-mm")</f>
        <v>2025-07</v>
      </c>
    </row>
    <row r="797" customFormat="false" ht="15" hidden="false" customHeight="false" outlineLevel="0" collapsed="false">
      <c r="A797" s="0" t="s">
        <v>963</v>
      </c>
      <c r="B797" s="2" t="n">
        <v>46106</v>
      </c>
      <c r="C797" s="3" t="s">
        <v>36</v>
      </c>
      <c r="D797" s="3" t="s">
        <v>88</v>
      </c>
      <c r="E797" s="3" t="s">
        <v>69</v>
      </c>
      <c r="F797" s="0" t="n">
        <v>5</v>
      </c>
      <c r="G797" s="0" t="n">
        <v>799</v>
      </c>
      <c r="H797" s="0" t="n">
        <v>15</v>
      </c>
      <c r="I797" s="3" t="s">
        <v>256</v>
      </c>
      <c r="J797" s="0" t="n">
        <v>5</v>
      </c>
      <c r="K797" s="3" t="s">
        <v>43</v>
      </c>
      <c r="L797" s="0" t="str">
        <f aca="false">VLOOKUP(D797,Products!$A$2:$D$13,2,FALSE())</f>
        <v>Accessories</v>
      </c>
      <c r="M797" s="3" t="n">
        <f aca="false">F797*G797*(1-H797/100)</f>
        <v>3395.75</v>
      </c>
      <c r="N797" s="0" t="str">
        <f aca="false">VLOOKUP(I797,Customers!$A$2:$D$121,3,FALSE())</f>
        <v>Lucknow</v>
      </c>
      <c r="O797" s="0" t="str">
        <f aca="false">VLOOKUP(I797,Customers!$A$2:$D$121,4,FALSE())</f>
        <v>Corporate</v>
      </c>
      <c r="P797" s="0" t="str">
        <f aca="false">TEXT(B797,"yyyy-mm")</f>
        <v>2026-03</v>
      </c>
    </row>
    <row r="798" customFormat="false" ht="15" hidden="false" customHeight="false" outlineLevel="0" collapsed="false">
      <c r="A798" s="0" t="s">
        <v>964</v>
      </c>
      <c r="B798" s="2" t="n">
        <v>45781</v>
      </c>
      <c r="C798" s="3" t="s">
        <v>17</v>
      </c>
      <c r="D798" s="3" t="s">
        <v>32</v>
      </c>
      <c r="E798" s="3" t="s">
        <v>93</v>
      </c>
      <c r="F798" s="0" t="n">
        <v>2</v>
      </c>
      <c r="G798" s="0" t="n">
        <v>249</v>
      </c>
      <c r="H798" s="0" t="n">
        <v>5</v>
      </c>
      <c r="I798" s="3" t="s">
        <v>534</v>
      </c>
      <c r="J798" s="0" t="n">
        <v>4</v>
      </c>
      <c r="K798" s="3" t="s">
        <v>26</v>
      </c>
      <c r="L798" s="0" t="str">
        <f aca="false">VLOOKUP(D798,Products!$A$2:$D$13,2,FALSE())</f>
        <v>Accessories</v>
      </c>
      <c r="M798" s="3" t="n">
        <f aca="false">F798*G798*(1-H798/100)</f>
        <v>473.1</v>
      </c>
      <c r="N798" s="0" t="str">
        <f aca="false">VLOOKUP(I798,Customers!$A$2:$D$121,3,FALSE())</f>
        <v>Chennai</v>
      </c>
      <c r="O798" s="0" t="str">
        <f aca="false">VLOOKUP(I798,Customers!$A$2:$D$121,4,FALSE())</f>
        <v>Student</v>
      </c>
      <c r="P798" s="0" t="str">
        <f aca="false">TEXT(B798,"yyyy-mm")</f>
        <v>2025-05</v>
      </c>
    </row>
    <row r="799" customFormat="false" ht="15" hidden="false" customHeight="false" outlineLevel="0" collapsed="false">
      <c r="A799" s="0" t="s">
        <v>965</v>
      </c>
      <c r="B799" s="2" t="n">
        <v>46057</v>
      </c>
      <c r="C799" s="3" t="s">
        <v>72</v>
      </c>
      <c r="D799" s="3" t="s">
        <v>37</v>
      </c>
      <c r="E799" s="3" t="s">
        <v>73</v>
      </c>
      <c r="F799" s="0" t="n">
        <v>1</v>
      </c>
      <c r="G799" s="0" t="n">
        <v>500</v>
      </c>
      <c r="H799" s="0" t="n">
        <v>10</v>
      </c>
      <c r="I799" s="3" t="s">
        <v>123</v>
      </c>
      <c r="J799" s="0" t="n">
        <v>4</v>
      </c>
      <c r="K799" s="3" t="s">
        <v>21</v>
      </c>
      <c r="L799" s="0" t="str">
        <f aca="false">VLOOKUP(D799,Products!$A$2:$D$13,2,FALSE())</f>
        <v>Electronics</v>
      </c>
      <c r="M799" s="3" t="n">
        <f aca="false">F799*G799*(1-H799/100)</f>
        <v>450</v>
      </c>
      <c r="N799" s="0" t="str">
        <f aca="false">VLOOKUP(I799,Customers!$A$2:$D$121,3,FALSE())</f>
        <v>Chennai</v>
      </c>
      <c r="O799" s="0" t="str">
        <f aca="false">VLOOKUP(I799,Customers!$A$2:$D$121,4,FALSE())</f>
        <v>Student</v>
      </c>
      <c r="P799" s="0" t="str">
        <f aca="false">TEXT(B799,"yyyy-mm")</f>
        <v>2026-02</v>
      </c>
    </row>
    <row r="800" customFormat="false" ht="15" hidden="false" customHeight="false" outlineLevel="0" collapsed="false">
      <c r="A800" s="0" t="s">
        <v>966</v>
      </c>
      <c r="B800" s="2" t="n">
        <v>46080</v>
      </c>
      <c r="C800" s="3" t="s">
        <v>23</v>
      </c>
      <c r="D800" s="3" t="s">
        <v>41</v>
      </c>
      <c r="E800" s="3" t="s">
        <v>29</v>
      </c>
      <c r="F800" s="0" t="n">
        <v>8</v>
      </c>
      <c r="G800" s="0" t="n">
        <v>399</v>
      </c>
      <c r="H800" s="0" t="n">
        <v>0</v>
      </c>
      <c r="I800" s="3" t="s">
        <v>551</v>
      </c>
      <c r="J800" s="0" t="n">
        <v>3</v>
      </c>
      <c r="K800" s="3" t="s">
        <v>43</v>
      </c>
      <c r="L800" s="0" t="str">
        <f aca="false">VLOOKUP(D800,Products!$A$2:$D$13,2,FALSE())</f>
        <v>Electronics</v>
      </c>
      <c r="M800" s="3" t="n">
        <f aca="false">F800*G800*(1-H800/100)</f>
        <v>3192</v>
      </c>
      <c r="N800" s="0" t="str">
        <f aca="false">VLOOKUP(I800,Customers!$A$2:$D$121,3,FALSE())</f>
        <v>Lucknow</v>
      </c>
      <c r="O800" s="0" t="str">
        <f aca="false">VLOOKUP(I800,Customers!$A$2:$D$121,4,FALSE())</f>
        <v>Student</v>
      </c>
      <c r="P800" s="0" t="str">
        <f aca="false">TEXT(B800,"yyyy-mm")</f>
        <v>2026-02</v>
      </c>
    </row>
    <row r="801" customFormat="false" ht="15" hidden="false" customHeight="false" outlineLevel="0" collapsed="false">
      <c r="A801" s="0" t="s">
        <v>967</v>
      </c>
      <c r="B801" s="2" t="n">
        <v>45870</v>
      </c>
      <c r="C801" s="3" t="s">
        <v>51</v>
      </c>
      <c r="D801" s="3" t="s">
        <v>116</v>
      </c>
      <c r="E801" s="3" t="s">
        <v>83</v>
      </c>
      <c r="F801" s="0" t="n">
        <v>4</v>
      </c>
      <c r="G801" s="0" t="n">
        <v>699</v>
      </c>
      <c r="H801" s="0" t="n">
        <v>10</v>
      </c>
      <c r="I801" s="3" t="s">
        <v>104</v>
      </c>
      <c r="J801" s="0" t="n">
        <v>4</v>
      </c>
      <c r="K801" s="3" t="s">
        <v>43</v>
      </c>
      <c r="L801" s="0" t="str">
        <f aca="false">VLOOKUP(D801,Products!$A$2:$D$13,2,FALSE())</f>
        <v>Home</v>
      </c>
      <c r="M801" s="3" t="n">
        <f aca="false">F801*G801*(1-H801/100)</f>
        <v>2516.4</v>
      </c>
      <c r="N801" s="0" t="str">
        <f aca="false">VLOOKUP(I801,Customers!$A$2:$D$121,3,FALSE())</f>
        <v>Lucknow</v>
      </c>
      <c r="O801" s="0" t="str">
        <f aca="false">VLOOKUP(I801,Customers!$A$2:$D$121,4,FALSE())</f>
        <v>Student</v>
      </c>
      <c r="P801" s="0" t="str">
        <f aca="false">TEXT(B801,"yyyy-mm")</f>
        <v>2025-08</v>
      </c>
    </row>
    <row r="802" customFormat="false" ht="15" hidden="false" customHeight="false" outlineLevel="0" collapsed="false">
      <c r="A802" s="0" t="s">
        <v>968</v>
      </c>
      <c r="B802" s="2" t="n">
        <v>45854</v>
      </c>
      <c r="C802" s="3" t="s">
        <v>72</v>
      </c>
      <c r="D802" s="3" t="s">
        <v>45</v>
      </c>
      <c r="E802" s="3" t="s">
        <v>73</v>
      </c>
      <c r="F802" s="0" t="n">
        <v>1</v>
      </c>
      <c r="G802" s="0" t="n">
        <v>30</v>
      </c>
      <c r="H802" s="0" t="n">
        <v>15</v>
      </c>
      <c r="I802" s="3" t="s">
        <v>335</v>
      </c>
      <c r="J802" s="0" t="n">
        <v>4</v>
      </c>
      <c r="K802" s="3" t="s">
        <v>34</v>
      </c>
      <c r="L802" s="0" t="str">
        <f aca="false">VLOOKUP(D802,Products!$A$2:$D$13,2,FALSE())</f>
        <v>Stationery</v>
      </c>
      <c r="M802" s="3" t="n">
        <f aca="false">F802*G802*(1-H802/100)</f>
        <v>25.5</v>
      </c>
      <c r="N802" s="0" t="str">
        <f aca="false">VLOOKUP(I802,Customers!$A$2:$D$121,3,FALSE())</f>
        <v>Bhopal</v>
      </c>
      <c r="O802" s="0" t="str">
        <f aca="false">VLOOKUP(I802,Customers!$A$2:$D$121,4,FALSE())</f>
        <v>Retail</v>
      </c>
      <c r="P802" s="0" t="str">
        <f aca="false">TEXT(B802,"yyyy-mm")</f>
        <v>2025-07</v>
      </c>
    </row>
    <row r="803" customFormat="false" ht="15" hidden="false" customHeight="false" outlineLevel="0" collapsed="false">
      <c r="A803" s="0" t="s">
        <v>969</v>
      </c>
      <c r="B803" s="2" t="n">
        <v>45836</v>
      </c>
      <c r="C803" s="3" t="s">
        <v>36</v>
      </c>
      <c r="D803" s="3" t="s">
        <v>57</v>
      </c>
      <c r="E803" s="3" t="s">
        <v>69</v>
      </c>
      <c r="F803" s="0" t="n">
        <v>5</v>
      </c>
      <c r="G803" s="0" t="n">
        <v>549</v>
      </c>
      <c r="H803" s="0" t="n">
        <v>15</v>
      </c>
      <c r="I803" s="3" t="s">
        <v>269</v>
      </c>
      <c r="J803" s="0" t="n">
        <v>2</v>
      </c>
      <c r="K803" s="3" t="s">
        <v>21</v>
      </c>
      <c r="L803" s="0" t="str">
        <f aca="false">VLOOKUP(D803,Products!$A$2:$D$13,2,FALSE())</f>
        <v>Accessories</v>
      </c>
      <c r="M803" s="3" t="n">
        <f aca="false">F803*G803*(1-H803/100)</f>
        <v>2333.25</v>
      </c>
      <c r="N803" s="0" t="str">
        <f aca="false">VLOOKUP(I803,Customers!$A$2:$D$121,3,FALSE())</f>
        <v>Mumbai</v>
      </c>
      <c r="O803" s="0" t="str">
        <f aca="false">VLOOKUP(I803,Customers!$A$2:$D$121,4,FALSE())</f>
        <v>Student</v>
      </c>
      <c r="P803" s="0" t="str">
        <f aca="false">TEXT(B803,"yyyy-mm")</f>
        <v>2025-06</v>
      </c>
    </row>
    <row r="804" customFormat="false" ht="15" hidden="false" customHeight="false" outlineLevel="0" collapsed="false">
      <c r="A804" s="0" t="s">
        <v>970</v>
      </c>
      <c r="B804" s="2" t="n">
        <v>45985</v>
      </c>
      <c r="C804" s="3" t="s">
        <v>23</v>
      </c>
      <c r="D804" s="3" t="s">
        <v>116</v>
      </c>
      <c r="E804" s="3" t="s">
        <v>29</v>
      </c>
      <c r="F804" s="0" t="n">
        <v>4</v>
      </c>
      <c r="G804" s="0" t="n">
        <v>699</v>
      </c>
      <c r="H804" s="0" t="n">
        <v>0</v>
      </c>
      <c r="I804" s="3" t="s">
        <v>30</v>
      </c>
      <c r="J804" s="0" t="n">
        <v>2</v>
      </c>
      <c r="K804" s="3" t="s">
        <v>26</v>
      </c>
      <c r="L804" s="0" t="str">
        <f aca="false">VLOOKUP(D804,Products!$A$2:$D$13,2,FALSE())</f>
        <v>Home</v>
      </c>
      <c r="M804" s="3" t="n">
        <f aca="false">F804*G804*(1-H804/100)</f>
        <v>2796</v>
      </c>
      <c r="N804" s="0" t="str">
        <f aca="false">VLOOKUP(I804,Customers!$A$2:$D$121,3,FALSE())</f>
        <v>Chennai</v>
      </c>
      <c r="O804" s="0" t="str">
        <f aca="false">VLOOKUP(I804,Customers!$A$2:$D$121,4,FALSE())</f>
        <v>Student</v>
      </c>
      <c r="P804" s="0" t="str">
        <f aca="false">TEXT(B804,"yyyy-mm")</f>
        <v>2025-11</v>
      </c>
    </row>
    <row r="805" customFormat="false" ht="15" hidden="false" customHeight="false" outlineLevel="0" collapsed="false">
      <c r="A805" s="0" t="s">
        <v>971</v>
      </c>
      <c r="B805" s="2" t="n">
        <v>45783</v>
      </c>
      <c r="C805" s="3" t="s">
        <v>51</v>
      </c>
      <c r="D805" s="3" t="s">
        <v>37</v>
      </c>
      <c r="E805" s="3" t="s">
        <v>83</v>
      </c>
      <c r="F805" s="0" t="n">
        <v>2</v>
      </c>
      <c r="G805" s="0" t="n">
        <v>500</v>
      </c>
      <c r="H805" s="0" t="n">
        <v>10</v>
      </c>
      <c r="I805" s="3" t="s">
        <v>39</v>
      </c>
      <c r="J805" s="0" t="n">
        <v>4</v>
      </c>
      <c r="K805" s="3" t="s">
        <v>34</v>
      </c>
      <c r="L805" s="0" t="str">
        <f aca="false">VLOOKUP(D805,Products!$A$2:$D$13,2,FALSE())</f>
        <v>Electronics</v>
      </c>
      <c r="M805" s="3" t="n">
        <f aca="false">F805*G805*(1-H805/100)</f>
        <v>900</v>
      </c>
      <c r="N805" s="0" t="str">
        <f aca="false">VLOOKUP(I805,Customers!$A$2:$D$121,3,FALSE())</f>
        <v>Chennai</v>
      </c>
      <c r="O805" s="0" t="str">
        <f aca="false">VLOOKUP(I805,Customers!$A$2:$D$121,4,FALSE())</f>
        <v>Retail</v>
      </c>
      <c r="P805" s="0" t="str">
        <f aca="false">TEXT(B805,"yyyy-mm")</f>
        <v>2025-05</v>
      </c>
    </row>
    <row r="806" customFormat="false" ht="15" hidden="false" customHeight="false" outlineLevel="0" collapsed="false">
      <c r="A806" s="0" t="s">
        <v>972</v>
      </c>
      <c r="B806" s="2" t="n">
        <v>45794</v>
      </c>
      <c r="C806" s="3" t="s">
        <v>17</v>
      </c>
      <c r="D806" s="3" t="s">
        <v>32</v>
      </c>
      <c r="E806" s="3" t="s">
        <v>19</v>
      </c>
      <c r="F806" s="0" t="n">
        <v>2</v>
      </c>
      <c r="G806" s="0" t="n">
        <v>249</v>
      </c>
      <c r="H806" s="0" t="n">
        <v>0</v>
      </c>
      <c r="I806" s="3" t="s">
        <v>373</v>
      </c>
      <c r="J806" s="0" t="n">
        <v>3</v>
      </c>
      <c r="K806" s="3" t="s">
        <v>26</v>
      </c>
      <c r="L806" s="0" t="str">
        <f aca="false">VLOOKUP(D806,Products!$A$2:$D$13,2,FALSE())</f>
        <v>Accessories</v>
      </c>
      <c r="M806" s="3" t="n">
        <f aca="false">F806*G806*(1-H806/100)</f>
        <v>498</v>
      </c>
      <c r="N806" s="0" t="str">
        <f aca="false">VLOOKUP(I806,Customers!$A$2:$D$121,3,FALSE())</f>
        <v>Bhopal</v>
      </c>
      <c r="O806" s="0" t="str">
        <f aca="false">VLOOKUP(I806,Customers!$A$2:$D$121,4,FALSE())</f>
        <v>Corporate</v>
      </c>
      <c r="P806" s="0" t="str">
        <f aca="false">TEXT(B806,"yyyy-mm")</f>
        <v>2025-05</v>
      </c>
    </row>
    <row r="807" customFormat="false" ht="15" hidden="false" customHeight="false" outlineLevel="0" collapsed="false">
      <c r="A807" s="0" t="s">
        <v>973</v>
      </c>
      <c r="B807" s="2" t="n">
        <v>45979</v>
      </c>
      <c r="C807" s="3" t="s">
        <v>36</v>
      </c>
      <c r="D807" s="3" t="s">
        <v>18</v>
      </c>
      <c r="E807" s="3" t="s">
        <v>69</v>
      </c>
      <c r="F807" s="0" t="n">
        <v>1</v>
      </c>
      <c r="G807" s="0" t="n">
        <v>349</v>
      </c>
      <c r="H807" s="0" t="n">
        <v>10</v>
      </c>
      <c r="I807" s="3" t="s">
        <v>246</v>
      </c>
      <c r="J807" s="0" t="n">
        <v>4</v>
      </c>
      <c r="K807" s="3" t="s">
        <v>26</v>
      </c>
      <c r="L807" s="0" t="str">
        <f aca="false">VLOOKUP(D807,Products!$A$2:$D$13,2,FALSE())</f>
        <v>Home</v>
      </c>
      <c r="M807" s="3" t="n">
        <f aca="false">F807*G807*(1-H807/100)</f>
        <v>314.1</v>
      </c>
      <c r="N807" s="0" t="str">
        <f aca="false">VLOOKUP(I807,Customers!$A$2:$D$121,3,FALSE())</f>
        <v>Pune</v>
      </c>
      <c r="O807" s="0" t="str">
        <f aca="false">VLOOKUP(I807,Customers!$A$2:$D$121,4,FALSE())</f>
        <v>Student</v>
      </c>
      <c r="P807" s="0" t="str">
        <f aca="false">TEXT(B807,"yyyy-mm")</f>
        <v>2025-11</v>
      </c>
    </row>
    <row r="808" customFormat="false" ht="15" hidden="false" customHeight="false" outlineLevel="0" collapsed="false">
      <c r="A808" s="0" t="s">
        <v>974</v>
      </c>
      <c r="B808" s="2" t="n">
        <v>45901</v>
      </c>
      <c r="C808" s="3" t="s">
        <v>72</v>
      </c>
      <c r="D808" s="3" t="s">
        <v>28</v>
      </c>
      <c r="E808" s="3" t="s">
        <v>73</v>
      </c>
      <c r="F808" s="0" t="n">
        <v>1</v>
      </c>
      <c r="G808" s="0" t="n">
        <v>450</v>
      </c>
      <c r="H808" s="0" t="n">
        <v>10</v>
      </c>
      <c r="I808" s="3" t="s">
        <v>551</v>
      </c>
      <c r="J808" s="0" t="n">
        <v>5</v>
      </c>
      <c r="K808" s="3" t="s">
        <v>43</v>
      </c>
      <c r="L808" s="0" t="str">
        <f aca="false">VLOOKUP(D808,Products!$A$2:$D$13,2,FALSE())</f>
        <v>Electronics</v>
      </c>
      <c r="M808" s="3" t="n">
        <f aca="false">F808*G808*(1-H808/100)</f>
        <v>405</v>
      </c>
      <c r="N808" s="0" t="str">
        <f aca="false">VLOOKUP(I808,Customers!$A$2:$D$121,3,FALSE())</f>
        <v>Lucknow</v>
      </c>
      <c r="O808" s="0" t="str">
        <f aca="false">VLOOKUP(I808,Customers!$A$2:$D$121,4,FALSE())</f>
        <v>Student</v>
      </c>
      <c r="P808" s="0" t="str">
        <f aca="false">TEXT(B808,"yyyy-mm")</f>
        <v>2025-09</v>
      </c>
    </row>
    <row r="809" customFormat="false" ht="15" hidden="false" customHeight="false" outlineLevel="0" collapsed="false">
      <c r="A809" s="0" t="s">
        <v>975</v>
      </c>
      <c r="B809" s="2" t="n">
        <v>45793</v>
      </c>
      <c r="C809" s="3" t="s">
        <v>72</v>
      </c>
      <c r="D809" s="3" t="s">
        <v>48</v>
      </c>
      <c r="E809" s="3" t="s">
        <v>73</v>
      </c>
      <c r="F809" s="0" t="n">
        <v>1</v>
      </c>
      <c r="G809" s="0" t="n">
        <v>199</v>
      </c>
      <c r="H809" s="0" t="n">
        <v>10</v>
      </c>
      <c r="I809" s="3" t="s">
        <v>210</v>
      </c>
      <c r="J809" s="0" t="n">
        <v>4</v>
      </c>
      <c r="K809" s="3" t="s">
        <v>26</v>
      </c>
      <c r="L809" s="0" t="str">
        <f aca="false">VLOOKUP(D809,Products!$A$2:$D$13,2,FALSE())</f>
        <v>Home</v>
      </c>
      <c r="M809" s="3" t="n">
        <f aca="false">F809*G809*(1-H809/100)</f>
        <v>179.1</v>
      </c>
      <c r="N809" s="0" t="str">
        <f aca="false">VLOOKUP(I809,Customers!$A$2:$D$121,3,FALSE())</f>
        <v>Indore</v>
      </c>
      <c r="O809" s="0" t="str">
        <f aca="false">VLOOKUP(I809,Customers!$A$2:$D$121,4,FALSE())</f>
        <v>Student</v>
      </c>
      <c r="P809" s="0" t="str">
        <f aca="false">TEXT(B809,"yyyy-mm")</f>
        <v>2025-05</v>
      </c>
    </row>
    <row r="810" customFormat="false" ht="15" hidden="false" customHeight="false" outlineLevel="0" collapsed="false">
      <c r="A810" s="0" t="s">
        <v>976</v>
      </c>
      <c r="B810" s="2" t="n">
        <v>45937</v>
      </c>
      <c r="C810" s="3" t="s">
        <v>17</v>
      </c>
      <c r="D810" s="3" t="s">
        <v>37</v>
      </c>
      <c r="E810" s="3" t="s">
        <v>93</v>
      </c>
      <c r="F810" s="0" t="n">
        <v>3</v>
      </c>
      <c r="G810" s="0" t="n">
        <v>500</v>
      </c>
      <c r="H810" s="0" t="n">
        <v>10</v>
      </c>
      <c r="I810" s="3" t="s">
        <v>100</v>
      </c>
      <c r="J810" s="0" t="n">
        <v>1</v>
      </c>
      <c r="K810" s="3" t="s">
        <v>21</v>
      </c>
      <c r="L810" s="0" t="str">
        <f aca="false">VLOOKUP(D810,Products!$A$2:$D$13,2,FALSE())</f>
        <v>Electronics</v>
      </c>
      <c r="M810" s="3" t="n">
        <f aca="false">F810*G810*(1-H810/100)</f>
        <v>1350</v>
      </c>
      <c r="N810" s="0" t="str">
        <f aca="false">VLOOKUP(I810,Customers!$A$2:$D$121,3,FALSE())</f>
        <v>Nagpur</v>
      </c>
      <c r="O810" s="0" t="str">
        <f aca="false">VLOOKUP(I810,Customers!$A$2:$D$121,4,FALSE())</f>
        <v>Retail</v>
      </c>
      <c r="P810" s="0" t="str">
        <f aca="false">TEXT(B810,"yyyy-mm")</f>
        <v>2025-10</v>
      </c>
    </row>
    <row r="811" customFormat="false" ht="15" hidden="false" customHeight="false" outlineLevel="0" collapsed="false">
      <c r="A811" s="0" t="s">
        <v>977</v>
      </c>
      <c r="B811" s="2" t="n">
        <v>45868</v>
      </c>
      <c r="C811" s="3" t="s">
        <v>17</v>
      </c>
      <c r="D811" s="3" t="s">
        <v>37</v>
      </c>
      <c r="E811" s="3" t="s">
        <v>93</v>
      </c>
      <c r="F811" s="0" t="n">
        <v>1</v>
      </c>
      <c r="G811" s="0" t="n">
        <v>500</v>
      </c>
      <c r="H811" s="0" t="n">
        <v>5</v>
      </c>
      <c r="I811" s="3" t="s">
        <v>55</v>
      </c>
      <c r="J811" s="0" t="n">
        <v>4</v>
      </c>
      <c r="K811" s="3" t="s">
        <v>43</v>
      </c>
      <c r="L811" s="0" t="str">
        <f aca="false">VLOOKUP(D811,Products!$A$2:$D$13,2,FALSE())</f>
        <v>Electronics</v>
      </c>
      <c r="M811" s="3" t="n">
        <f aca="false">F811*G811*(1-H811/100)</f>
        <v>475</v>
      </c>
      <c r="N811" s="0" t="str">
        <f aca="false">VLOOKUP(I811,Customers!$A$2:$D$121,3,FALSE())</f>
        <v>Jaipur</v>
      </c>
      <c r="O811" s="0" t="str">
        <f aca="false">VLOOKUP(I811,Customers!$A$2:$D$121,4,FALSE())</f>
        <v>Corporate</v>
      </c>
      <c r="P811" s="0" t="str">
        <f aca="false">TEXT(B811,"yyyy-mm")</f>
        <v>2025-07</v>
      </c>
    </row>
    <row r="812" customFormat="false" ht="15" hidden="false" customHeight="false" outlineLevel="0" collapsed="false">
      <c r="A812" s="0" t="s">
        <v>978</v>
      </c>
      <c r="B812" s="2" t="n">
        <v>45970</v>
      </c>
      <c r="C812" s="3" t="s">
        <v>51</v>
      </c>
      <c r="D812" s="3" t="s">
        <v>88</v>
      </c>
      <c r="E812" s="3" t="s">
        <v>83</v>
      </c>
      <c r="F812" s="0" t="n">
        <v>1</v>
      </c>
      <c r="G812" s="0" t="n">
        <v>799</v>
      </c>
      <c r="H812" s="0" t="n">
        <v>10</v>
      </c>
      <c r="I812" s="3" t="s">
        <v>86</v>
      </c>
      <c r="J812" s="0" t="n">
        <v>4</v>
      </c>
      <c r="K812" s="3" t="s">
        <v>26</v>
      </c>
      <c r="L812" s="0" t="str">
        <f aca="false">VLOOKUP(D812,Products!$A$2:$D$13,2,FALSE())</f>
        <v>Accessories</v>
      </c>
      <c r="M812" s="3" t="n">
        <f aca="false">F812*G812*(1-H812/100)</f>
        <v>719.1</v>
      </c>
      <c r="N812" s="0" t="str">
        <f aca="false">VLOOKUP(I812,Customers!$A$2:$D$121,3,FALSE())</f>
        <v>Kolkata</v>
      </c>
      <c r="O812" s="0" t="str">
        <f aca="false">VLOOKUP(I812,Customers!$A$2:$D$121,4,FALSE())</f>
        <v>Student</v>
      </c>
      <c r="P812" s="0" t="str">
        <f aca="false">TEXT(B812,"yyyy-mm")</f>
        <v>2025-11</v>
      </c>
    </row>
    <row r="813" customFormat="false" ht="15" hidden="false" customHeight="false" outlineLevel="0" collapsed="false">
      <c r="A813" s="0" t="s">
        <v>979</v>
      </c>
      <c r="B813" s="2" t="n">
        <v>45944</v>
      </c>
      <c r="C813" s="3" t="s">
        <v>23</v>
      </c>
      <c r="D813" s="3" t="s">
        <v>28</v>
      </c>
      <c r="E813" s="3" t="s">
        <v>29</v>
      </c>
      <c r="F813" s="0" t="n">
        <v>1</v>
      </c>
      <c r="G813" s="0" t="n">
        <v>450</v>
      </c>
      <c r="H813" s="0" t="n">
        <v>0</v>
      </c>
      <c r="I813" s="3" t="s">
        <v>77</v>
      </c>
      <c r="J813" s="0" t="n">
        <v>4</v>
      </c>
      <c r="K813" s="3" t="s">
        <v>26</v>
      </c>
      <c r="L813" s="0" t="str">
        <f aca="false">VLOOKUP(D813,Products!$A$2:$D$13,2,FALSE())</f>
        <v>Electronics</v>
      </c>
      <c r="M813" s="3" t="n">
        <f aca="false">F813*G813*(1-H813/100)</f>
        <v>450</v>
      </c>
      <c r="N813" s="0" t="str">
        <f aca="false">VLOOKUP(I813,Customers!$A$2:$D$121,3,FALSE())</f>
        <v>Chennai</v>
      </c>
      <c r="O813" s="0" t="str">
        <f aca="false">VLOOKUP(I813,Customers!$A$2:$D$121,4,FALSE())</f>
        <v>Student</v>
      </c>
      <c r="P813" s="0" t="str">
        <f aca="false">TEXT(B813,"yyyy-mm")</f>
        <v>2025-10</v>
      </c>
    </row>
    <row r="814" customFormat="false" ht="15" hidden="false" customHeight="false" outlineLevel="0" collapsed="false">
      <c r="A814" s="0" t="s">
        <v>980</v>
      </c>
      <c r="B814" s="2" t="n">
        <v>45784</v>
      </c>
      <c r="C814" s="3" t="s">
        <v>17</v>
      </c>
      <c r="D814" s="3" t="s">
        <v>108</v>
      </c>
      <c r="E814" s="3" t="s">
        <v>93</v>
      </c>
      <c r="F814" s="0" t="n">
        <v>2</v>
      </c>
      <c r="G814" s="0" t="n">
        <v>180</v>
      </c>
      <c r="H814" s="0" t="n">
        <v>15</v>
      </c>
      <c r="I814" s="3" t="s">
        <v>172</v>
      </c>
      <c r="J814" s="0" t="n">
        <v>3</v>
      </c>
      <c r="K814" s="3" t="s">
        <v>43</v>
      </c>
      <c r="L814" s="0" t="str">
        <f aca="false">VLOOKUP(D814,Products!$A$2:$D$13,2,FALSE())</f>
        <v>Stationery</v>
      </c>
      <c r="M814" s="3" t="n">
        <f aca="false">F814*G814*(1-H814/100)</f>
        <v>306</v>
      </c>
      <c r="N814" s="0" t="str">
        <f aca="false">VLOOKUP(I814,Customers!$A$2:$D$121,3,FALSE())</f>
        <v>Delhi</v>
      </c>
      <c r="O814" s="0" t="str">
        <f aca="false">VLOOKUP(I814,Customers!$A$2:$D$121,4,FALSE())</f>
        <v>Retail</v>
      </c>
      <c r="P814" s="0" t="str">
        <f aca="false">TEXT(B814,"yyyy-mm")</f>
        <v>2025-05</v>
      </c>
    </row>
    <row r="815" customFormat="false" ht="15" hidden="false" customHeight="false" outlineLevel="0" collapsed="false">
      <c r="A815" s="0" t="s">
        <v>981</v>
      </c>
      <c r="B815" s="2" t="n">
        <v>45818</v>
      </c>
      <c r="C815" s="3" t="s">
        <v>17</v>
      </c>
      <c r="D815" s="3" t="s">
        <v>108</v>
      </c>
      <c r="E815" s="3" t="s">
        <v>93</v>
      </c>
      <c r="F815" s="0" t="n">
        <v>5</v>
      </c>
      <c r="G815" s="0" t="n">
        <v>180</v>
      </c>
      <c r="H815" s="0" t="n">
        <v>15</v>
      </c>
      <c r="I815" s="3" t="s">
        <v>189</v>
      </c>
      <c r="J815" s="0" t="n">
        <v>4</v>
      </c>
      <c r="K815" s="3" t="s">
        <v>43</v>
      </c>
      <c r="L815" s="0" t="str">
        <f aca="false">VLOOKUP(D815,Products!$A$2:$D$13,2,FALSE())</f>
        <v>Stationery</v>
      </c>
      <c r="M815" s="3" t="n">
        <f aca="false">F815*G815*(1-H815/100)</f>
        <v>765</v>
      </c>
      <c r="N815" s="0" t="str">
        <f aca="false">VLOOKUP(I815,Customers!$A$2:$D$121,3,FALSE())</f>
        <v>Bhopal</v>
      </c>
      <c r="O815" s="0" t="str">
        <f aca="false">VLOOKUP(I815,Customers!$A$2:$D$121,4,FALSE())</f>
        <v>Retail</v>
      </c>
      <c r="P815" s="0" t="str">
        <f aca="false">TEXT(B815,"yyyy-mm")</f>
        <v>2025-06</v>
      </c>
    </row>
    <row r="816" customFormat="false" ht="15" hidden="false" customHeight="false" outlineLevel="0" collapsed="false">
      <c r="A816" s="0" t="s">
        <v>982</v>
      </c>
      <c r="B816" s="2" t="n">
        <v>45980</v>
      </c>
      <c r="C816" s="3" t="s">
        <v>36</v>
      </c>
      <c r="D816" s="3" t="s">
        <v>116</v>
      </c>
      <c r="E816" s="3" t="s">
        <v>69</v>
      </c>
      <c r="F816" s="0" t="n">
        <v>1</v>
      </c>
      <c r="G816" s="0" t="n">
        <v>699</v>
      </c>
      <c r="H816" s="0" t="n">
        <v>10</v>
      </c>
      <c r="I816" s="3" t="s">
        <v>25</v>
      </c>
      <c r="J816" s="0" t="n">
        <v>4</v>
      </c>
      <c r="K816" s="3" t="s">
        <v>43</v>
      </c>
      <c r="L816" s="0" t="str">
        <f aca="false">VLOOKUP(D816,Products!$A$2:$D$13,2,FALSE())</f>
        <v>Home</v>
      </c>
      <c r="M816" s="3" t="n">
        <f aca="false">F816*G816*(1-H816/100)</f>
        <v>629.1</v>
      </c>
      <c r="N816" s="0" t="str">
        <f aca="false">VLOOKUP(I816,Customers!$A$2:$D$121,3,FALSE())</f>
        <v>Indore</v>
      </c>
      <c r="O816" s="0" t="str">
        <f aca="false">VLOOKUP(I816,Customers!$A$2:$D$121,4,FALSE())</f>
        <v>Corporate</v>
      </c>
      <c r="P816" s="0" t="str">
        <f aca="false">TEXT(B816,"yyyy-mm")</f>
        <v>2025-11</v>
      </c>
    </row>
    <row r="817" customFormat="false" ht="15" hidden="false" customHeight="false" outlineLevel="0" collapsed="false">
      <c r="A817" s="0" t="s">
        <v>983</v>
      </c>
      <c r="B817" s="2" t="n">
        <v>45843</v>
      </c>
      <c r="C817" s="3" t="s">
        <v>36</v>
      </c>
      <c r="D817" s="3" t="s">
        <v>41</v>
      </c>
      <c r="E817" s="3" t="s">
        <v>69</v>
      </c>
      <c r="F817" s="0" t="n">
        <v>1</v>
      </c>
      <c r="G817" s="0" t="n">
        <v>399</v>
      </c>
      <c r="H817" s="0" t="n">
        <v>5</v>
      </c>
      <c r="I817" s="3" t="s">
        <v>185</v>
      </c>
      <c r="J817" s="0" t="n">
        <v>1</v>
      </c>
      <c r="K817" s="3" t="s">
        <v>26</v>
      </c>
      <c r="L817" s="0" t="str">
        <f aca="false">VLOOKUP(D817,Products!$A$2:$D$13,2,FALSE())</f>
        <v>Electronics</v>
      </c>
      <c r="M817" s="3" t="n">
        <f aca="false">F817*G817*(1-H817/100)</f>
        <v>379.05</v>
      </c>
      <c r="N817" s="0" t="str">
        <f aca="false">VLOOKUP(I817,Customers!$A$2:$D$121,3,FALSE())</f>
        <v>Indore</v>
      </c>
      <c r="O817" s="0" t="str">
        <f aca="false">VLOOKUP(I817,Customers!$A$2:$D$121,4,FALSE())</f>
        <v>Corporate</v>
      </c>
      <c r="P817" s="0" t="str">
        <f aca="false">TEXT(B817,"yyyy-mm")</f>
        <v>2025-07</v>
      </c>
    </row>
    <row r="818" customFormat="false" ht="15" hidden="false" customHeight="false" outlineLevel="0" collapsed="false">
      <c r="A818" s="0" t="s">
        <v>984</v>
      </c>
      <c r="B818" s="2" t="n">
        <v>45885</v>
      </c>
      <c r="C818" s="3" t="s">
        <v>23</v>
      </c>
      <c r="D818" s="3" t="s">
        <v>48</v>
      </c>
      <c r="E818" s="3" t="s">
        <v>29</v>
      </c>
      <c r="F818" s="0" t="n">
        <v>3</v>
      </c>
      <c r="G818" s="0" t="n">
        <v>199</v>
      </c>
      <c r="H818" s="0" t="n">
        <v>5</v>
      </c>
      <c r="I818" s="3" t="s">
        <v>110</v>
      </c>
      <c r="J818" s="0" t="n">
        <v>4</v>
      </c>
      <c r="K818" s="3" t="s">
        <v>21</v>
      </c>
      <c r="L818" s="0" t="str">
        <f aca="false">VLOOKUP(D818,Products!$A$2:$D$13,2,FALSE())</f>
        <v>Home</v>
      </c>
      <c r="M818" s="3" t="n">
        <f aca="false">F818*G818*(1-H818/100)</f>
        <v>567.15</v>
      </c>
      <c r="N818" s="0" t="str">
        <f aca="false">VLOOKUP(I818,Customers!$A$2:$D$121,3,FALSE())</f>
        <v>Pune</v>
      </c>
      <c r="O818" s="0" t="str">
        <f aca="false">VLOOKUP(I818,Customers!$A$2:$D$121,4,FALSE())</f>
        <v>Retail</v>
      </c>
      <c r="P818" s="0" t="str">
        <f aca="false">TEXT(B818,"yyyy-mm")</f>
        <v>2025-08</v>
      </c>
    </row>
    <row r="819" customFormat="false" ht="15" hidden="false" customHeight="false" outlineLevel="0" collapsed="false">
      <c r="A819" s="0" t="s">
        <v>985</v>
      </c>
      <c r="B819" s="2" t="n">
        <v>45995</v>
      </c>
      <c r="C819" s="3" t="s">
        <v>23</v>
      </c>
      <c r="D819" s="3" t="s">
        <v>60</v>
      </c>
      <c r="E819" s="3" t="s">
        <v>29</v>
      </c>
      <c r="F819" s="0" t="n">
        <v>2</v>
      </c>
      <c r="G819" s="0" t="n">
        <v>40</v>
      </c>
      <c r="H819" s="0" t="n">
        <v>15</v>
      </c>
      <c r="I819" s="3" t="s">
        <v>317</v>
      </c>
      <c r="J819" s="0" t="n">
        <v>2</v>
      </c>
      <c r="K819" s="3" t="s">
        <v>21</v>
      </c>
      <c r="L819" s="0" t="str">
        <f aca="false">VLOOKUP(D819,Products!$A$2:$D$13,2,FALSE())</f>
        <v>Stationery</v>
      </c>
      <c r="M819" s="3" t="n">
        <f aca="false">F819*G819*(1-H819/100)</f>
        <v>68</v>
      </c>
      <c r="N819" s="0" t="str">
        <f aca="false">VLOOKUP(I819,Customers!$A$2:$D$121,3,FALSE())</f>
        <v>Jaipur</v>
      </c>
      <c r="O819" s="0" t="str">
        <f aca="false">VLOOKUP(I819,Customers!$A$2:$D$121,4,FALSE())</f>
        <v>Student</v>
      </c>
      <c r="P819" s="0" t="str">
        <f aca="false">TEXT(B819,"yyyy-mm")</f>
        <v>2025-12</v>
      </c>
    </row>
    <row r="820" customFormat="false" ht="15" hidden="false" customHeight="false" outlineLevel="0" collapsed="false">
      <c r="A820" s="0" t="s">
        <v>986</v>
      </c>
      <c r="B820" s="2" t="n">
        <v>45891</v>
      </c>
      <c r="C820" s="3" t="s">
        <v>23</v>
      </c>
      <c r="D820" s="3" t="s">
        <v>108</v>
      </c>
      <c r="E820" s="3" t="s">
        <v>24</v>
      </c>
      <c r="F820" s="0" t="n">
        <v>1</v>
      </c>
      <c r="G820" s="0" t="n">
        <v>180</v>
      </c>
      <c r="H820" s="0" t="n">
        <v>5</v>
      </c>
      <c r="I820" s="3" t="s">
        <v>234</v>
      </c>
      <c r="J820" s="0" t="n">
        <v>2</v>
      </c>
      <c r="K820" s="3" t="s">
        <v>26</v>
      </c>
      <c r="L820" s="0" t="str">
        <f aca="false">VLOOKUP(D820,Products!$A$2:$D$13,2,FALSE())</f>
        <v>Stationery</v>
      </c>
      <c r="M820" s="3" t="n">
        <f aca="false">F820*G820*(1-H820/100)</f>
        <v>171</v>
      </c>
      <c r="N820" s="0" t="str">
        <f aca="false">VLOOKUP(I820,Customers!$A$2:$D$121,3,FALSE())</f>
        <v>Indore</v>
      </c>
      <c r="O820" s="0" t="str">
        <f aca="false">VLOOKUP(I820,Customers!$A$2:$D$121,4,FALSE())</f>
        <v>Retail</v>
      </c>
      <c r="P820" s="0" t="str">
        <f aca="false">TEXT(B820,"yyyy-mm")</f>
        <v>2025-08</v>
      </c>
    </row>
    <row r="821" customFormat="false" ht="15" hidden="false" customHeight="false" outlineLevel="0" collapsed="false">
      <c r="A821" s="0" t="s">
        <v>987</v>
      </c>
      <c r="B821" s="2" t="n">
        <v>46098</v>
      </c>
      <c r="C821" s="3" t="s">
        <v>17</v>
      </c>
      <c r="D821" s="3" t="s">
        <v>32</v>
      </c>
      <c r="E821" s="3" t="s">
        <v>93</v>
      </c>
      <c r="F821" s="0" t="n">
        <v>2</v>
      </c>
      <c r="G821" s="0" t="n">
        <v>249</v>
      </c>
      <c r="H821" s="0" t="n">
        <v>15</v>
      </c>
      <c r="I821" s="3" t="s">
        <v>106</v>
      </c>
      <c r="J821" s="0" t="n">
        <v>5</v>
      </c>
      <c r="K821" s="3" t="s">
        <v>21</v>
      </c>
      <c r="L821" s="0" t="str">
        <f aca="false">VLOOKUP(D821,Products!$A$2:$D$13,2,FALSE())</f>
        <v>Accessories</v>
      </c>
      <c r="M821" s="3" t="n">
        <f aca="false">F821*G821*(1-H821/100)</f>
        <v>423.3</v>
      </c>
      <c r="N821" s="0" t="str">
        <f aca="false">VLOOKUP(I821,Customers!$A$2:$D$121,3,FALSE())</f>
        <v>Bhopal</v>
      </c>
      <c r="O821" s="0" t="str">
        <f aca="false">VLOOKUP(I821,Customers!$A$2:$D$121,4,FALSE())</f>
        <v>Corporate</v>
      </c>
      <c r="P821" s="0" t="str">
        <f aca="false">TEXT(B821,"yyyy-mm")</f>
        <v>2026-03</v>
      </c>
    </row>
    <row r="822" customFormat="false" ht="15" hidden="false" customHeight="false" outlineLevel="0" collapsed="false">
      <c r="A822" s="0" t="s">
        <v>988</v>
      </c>
      <c r="B822" s="2" t="n">
        <v>45753</v>
      </c>
      <c r="C822" s="3" t="s">
        <v>23</v>
      </c>
      <c r="D822" s="3" t="s">
        <v>41</v>
      </c>
      <c r="E822" s="3" t="s">
        <v>29</v>
      </c>
      <c r="F822" s="0" t="n">
        <v>1</v>
      </c>
      <c r="G822" s="0" t="n">
        <v>399</v>
      </c>
      <c r="H822" s="0" t="n">
        <v>5</v>
      </c>
      <c r="I822" s="3" t="s">
        <v>63</v>
      </c>
      <c r="J822" s="0" t="n">
        <v>4</v>
      </c>
      <c r="K822" s="3" t="s">
        <v>34</v>
      </c>
      <c r="L822" s="0" t="str">
        <f aca="false">VLOOKUP(D822,Products!$A$2:$D$13,2,FALSE())</f>
        <v>Electronics</v>
      </c>
      <c r="M822" s="3" t="n">
        <f aca="false">F822*G822*(1-H822/100)</f>
        <v>379.05</v>
      </c>
      <c r="N822" s="0" t="str">
        <f aca="false">VLOOKUP(I822,Customers!$A$2:$D$121,3,FALSE())</f>
        <v>Indore</v>
      </c>
      <c r="O822" s="0" t="str">
        <f aca="false">VLOOKUP(I822,Customers!$A$2:$D$121,4,FALSE())</f>
        <v>Student</v>
      </c>
      <c r="P822" s="0" t="str">
        <f aca="false">TEXT(B822,"yyyy-mm")</f>
        <v>2025-04</v>
      </c>
    </row>
    <row r="823" customFormat="false" ht="15" hidden="false" customHeight="false" outlineLevel="0" collapsed="false">
      <c r="A823" s="0" t="s">
        <v>989</v>
      </c>
      <c r="B823" s="2" t="n">
        <v>45898</v>
      </c>
      <c r="C823" s="3" t="s">
        <v>72</v>
      </c>
      <c r="D823" s="3" t="s">
        <v>88</v>
      </c>
      <c r="E823" s="3" t="s">
        <v>73</v>
      </c>
      <c r="F823" s="0" t="n">
        <v>1</v>
      </c>
      <c r="G823" s="0" t="n">
        <v>799</v>
      </c>
      <c r="H823" s="0" t="n">
        <v>0</v>
      </c>
      <c r="I823" s="3" t="s">
        <v>695</v>
      </c>
      <c r="J823" s="0" t="n">
        <v>1</v>
      </c>
      <c r="K823" s="3" t="s">
        <v>34</v>
      </c>
      <c r="L823" s="0" t="str">
        <f aca="false">VLOOKUP(D823,Products!$A$2:$D$13,2,FALSE())</f>
        <v>Accessories</v>
      </c>
      <c r="M823" s="3" t="n">
        <f aca="false">F823*G823*(1-H823/100)</f>
        <v>799</v>
      </c>
      <c r="N823" s="0" t="str">
        <f aca="false">VLOOKUP(I823,Customers!$A$2:$D$121,3,FALSE())</f>
        <v>Pune</v>
      </c>
      <c r="O823" s="0" t="str">
        <f aca="false">VLOOKUP(I823,Customers!$A$2:$D$121,4,FALSE())</f>
        <v>Corporate</v>
      </c>
      <c r="P823" s="0" t="str">
        <f aca="false">TEXT(B823,"yyyy-mm")</f>
        <v>2025-08</v>
      </c>
    </row>
    <row r="824" customFormat="false" ht="15" hidden="false" customHeight="false" outlineLevel="0" collapsed="false">
      <c r="A824" s="0" t="s">
        <v>990</v>
      </c>
      <c r="B824" s="2" t="n">
        <v>46044</v>
      </c>
      <c r="C824" s="3" t="s">
        <v>51</v>
      </c>
      <c r="D824" s="3" t="s">
        <v>60</v>
      </c>
      <c r="E824" s="3" t="s">
        <v>83</v>
      </c>
      <c r="F824" s="0" t="n">
        <v>2</v>
      </c>
      <c r="G824" s="0" t="n">
        <v>40</v>
      </c>
      <c r="H824" s="0" t="n">
        <v>0</v>
      </c>
      <c r="I824" s="3" t="s">
        <v>254</v>
      </c>
      <c r="J824" s="0" t="n">
        <v>2</v>
      </c>
      <c r="K824" s="3" t="s">
        <v>21</v>
      </c>
      <c r="L824" s="0" t="str">
        <f aca="false">VLOOKUP(D824,Products!$A$2:$D$13,2,FALSE())</f>
        <v>Stationery</v>
      </c>
      <c r="M824" s="3" t="n">
        <f aca="false">F824*G824*(1-H824/100)</f>
        <v>80</v>
      </c>
      <c r="N824" s="0" t="str">
        <f aca="false">VLOOKUP(I824,Customers!$A$2:$D$121,3,FALSE())</f>
        <v>Pune</v>
      </c>
      <c r="O824" s="0" t="str">
        <f aca="false">VLOOKUP(I824,Customers!$A$2:$D$121,4,FALSE())</f>
        <v>Student</v>
      </c>
      <c r="P824" s="0" t="str">
        <f aca="false">TEXT(B824,"yyyy-mm")</f>
        <v>2026-01</v>
      </c>
    </row>
    <row r="825" customFormat="false" ht="15" hidden="false" customHeight="false" outlineLevel="0" collapsed="false">
      <c r="A825" s="0" t="s">
        <v>991</v>
      </c>
      <c r="B825" s="2" t="n">
        <v>45790</v>
      </c>
      <c r="C825" s="3" t="s">
        <v>51</v>
      </c>
      <c r="D825" s="3" t="s">
        <v>37</v>
      </c>
      <c r="E825" s="3" t="s">
        <v>83</v>
      </c>
      <c r="F825" s="0" t="n">
        <v>1</v>
      </c>
      <c r="G825" s="0" t="n">
        <v>500</v>
      </c>
      <c r="H825" s="0" t="n">
        <v>0</v>
      </c>
      <c r="I825" s="3" t="s">
        <v>302</v>
      </c>
      <c r="J825" s="0" t="n">
        <v>2</v>
      </c>
      <c r="K825" s="3" t="s">
        <v>34</v>
      </c>
      <c r="L825" s="0" t="str">
        <f aca="false">VLOOKUP(D825,Products!$A$2:$D$13,2,FALSE())</f>
        <v>Electronics</v>
      </c>
      <c r="M825" s="3" t="n">
        <f aca="false">F825*G825*(1-H825/100)</f>
        <v>500</v>
      </c>
      <c r="N825" s="0" t="str">
        <f aca="false">VLOOKUP(I825,Customers!$A$2:$D$121,3,FALSE())</f>
        <v>Nagpur</v>
      </c>
      <c r="O825" s="0" t="str">
        <f aca="false">VLOOKUP(I825,Customers!$A$2:$D$121,4,FALSE())</f>
        <v>Retail</v>
      </c>
      <c r="P825" s="0" t="str">
        <f aca="false">TEXT(B825,"yyyy-mm")</f>
        <v>2025-05</v>
      </c>
    </row>
    <row r="826" customFormat="false" ht="15" hidden="false" customHeight="false" outlineLevel="0" collapsed="false">
      <c r="A826" s="0" t="s">
        <v>992</v>
      </c>
      <c r="B826" s="2" t="n">
        <v>45891</v>
      </c>
      <c r="C826" s="3" t="s">
        <v>23</v>
      </c>
      <c r="D826" s="3" t="s">
        <v>108</v>
      </c>
      <c r="E826" s="3" t="s">
        <v>24</v>
      </c>
      <c r="F826" s="0" t="n">
        <v>5</v>
      </c>
      <c r="G826" s="0" t="n">
        <v>180</v>
      </c>
      <c r="H826" s="0" t="n">
        <v>0</v>
      </c>
      <c r="I826" s="3" t="s">
        <v>174</v>
      </c>
      <c r="J826" s="0" t="n">
        <v>3</v>
      </c>
      <c r="K826" s="3" t="s">
        <v>26</v>
      </c>
      <c r="L826" s="0" t="str">
        <f aca="false">VLOOKUP(D826,Products!$A$2:$D$13,2,FALSE())</f>
        <v>Stationery</v>
      </c>
      <c r="M826" s="3" t="n">
        <f aca="false">F826*G826*(1-H826/100)</f>
        <v>900</v>
      </c>
      <c r="N826" s="0" t="str">
        <f aca="false">VLOOKUP(I826,Customers!$A$2:$D$121,3,FALSE())</f>
        <v>Lucknow</v>
      </c>
      <c r="O826" s="0" t="str">
        <f aca="false">VLOOKUP(I826,Customers!$A$2:$D$121,4,FALSE())</f>
        <v>Student</v>
      </c>
      <c r="P826" s="0" t="str">
        <f aca="false">TEXT(B826,"yyyy-mm")</f>
        <v>2025-08</v>
      </c>
    </row>
    <row r="827" customFormat="false" ht="15" hidden="false" customHeight="false" outlineLevel="0" collapsed="false">
      <c r="A827" s="0" t="s">
        <v>993</v>
      </c>
      <c r="B827" s="2" t="n">
        <v>46085</v>
      </c>
      <c r="C827" s="3" t="s">
        <v>36</v>
      </c>
      <c r="D827" s="3" t="s">
        <v>116</v>
      </c>
      <c r="E827" s="3" t="s">
        <v>69</v>
      </c>
      <c r="F827" s="0" t="n">
        <v>1</v>
      </c>
      <c r="G827" s="0" t="n">
        <v>699</v>
      </c>
      <c r="H827" s="0" t="n">
        <v>5</v>
      </c>
      <c r="I827" s="3" t="s">
        <v>317</v>
      </c>
      <c r="J827" s="0" t="n">
        <v>5</v>
      </c>
      <c r="K827" s="3" t="s">
        <v>26</v>
      </c>
      <c r="L827" s="0" t="str">
        <f aca="false">VLOOKUP(D827,Products!$A$2:$D$13,2,FALSE())</f>
        <v>Home</v>
      </c>
      <c r="M827" s="3" t="n">
        <f aca="false">F827*G827*(1-H827/100)</f>
        <v>664.05</v>
      </c>
      <c r="N827" s="0" t="str">
        <f aca="false">VLOOKUP(I827,Customers!$A$2:$D$121,3,FALSE())</f>
        <v>Jaipur</v>
      </c>
      <c r="O827" s="0" t="str">
        <f aca="false">VLOOKUP(I827,Customers!$A$2:$D$121,4,FALSE())</f>
        <v>Student</v>
      </c>
      <c r="P827" s="0" t="str">
        <f aca="false">TEXT(B827,"yyyy-mm")</f>
        <v>2026-03</v>
      </c>
    </row>
    <row r="828" customFormat="false" ht="15" hidden="false" customHeight="false" outlineLevel="0" collapsed="false">
      <c r="A828" s="0" t="s">
        <v>994</v>
      </c>
      <c r="B828" s="2" t="n">
        <v>46018</v>
      </c>
      <c r="C828" s="3" t="s">
        <v>36</v>
      </c>
      <c r="D828" s="3" t="s">
        <v>32</v>
      </c>
      <c r="E828" s="3" t="s">
        <v>38</v>
      </c>
      <c r="F828" s="0" t="n">
        <v>2</v>
      </c>
      <c r="G828" s="0" t="n">
        <v>249</v>
      </c>
      <c r="H828" s="0" t="n">
        <v>0</v>
      </c>
      <c r="I828" s="3" t="s">
        <v>309</v>
      </c>
      <c r="J828" s="0" t="n">
        <v>5</v>
      </c>
      <c r="K828" s="3" t="s">
        <v>26</v>
      </c>
      <c r="L828" s="0" t="str">
        <f aca="false">VLOOKUP(D828,Products!$A$2:$D$13,2,FALSE())</f>
        <v>Accessories</v>
      </c>
      <c r="M828" s="3" t="n">
        <f aca="false">F828*G828*(1-H828/100)</f>
        <v>498</v>
      </c>
      <c r="N828" s="0" t="str">
        <f aca="false">VLOOKUP(I828,Customers!$A$2:$D$121,3,FALSE())</f>
        <v>Delhi</v>
      </c>
      <c r="O828" s="0" t="str">
        <f aca="false">VLOOKUP(I828,Customers!$A$2:$D$121,4,FALSE())</f>
        <v>Student</v>
      </c>
      <c r="P828" s="0" t="str">
        <f aca="false">TEXT(B828,"yyyy-mm")</f>
        <v>2025-12</v>
      </c>
    </row>
    <row r="829" customFormat="false" ht="15" hidden="false" customHeight="false" outlineLevel="0" collapsed="false">
      <c r="A829" s="0" t="s">
        <v>995</v>
      </c>
      <c r="B829" s="2" t="n">
        <v>45944</v>
      </c>
      <c r="C829" s="3" t="s">
        <v>51</v>
      </c>
      <c r="D829" s="3" t="s">
        <v>32</v>
      </c>
      <c r="E829" s="3" t="s">
        <v>52</v>
      </c>
      <c r="F829" s="0" t="n">
        <v>2</v>
      </c>
      <c r="G829" s="0" t="n">
        <v>249</v>
      </c>
      <c r="H829" s="0" t="n">
        <v>0</v>
      </c>
      <c r="I829" s="3" t="s">
        <v>251</v>
      </c>
      <c r="J829" s="0" t="n">
        <v>4</v>
      </c>
      <c r="K829" s="3" t="s">
        <v>26</v>
      </c>
      <c r="L829" s="0" t="str">
        <f aca="false">VLOOKUP(D829,Products!$A$2:$D$13,2,FALSE())</f>
        <v>Accessories</v>
      </c>
      <c r="M829" s="3" t="n">
        <f aca="false">F829*G829*(1-H829/100)</f>
        <v>498</v>
      </c>
      <c r="N829" s="0" t="str">
        <f aca="false">VLOOKUP(I829,Customers!$A$2:$D$121,3,FALSE())</f>
        <v>Indore</v>
      </c>
      <c r="O829" s="0" t="str">
        <f aca="false">VLOOKUP(I829,Customers!$A$2:$D$121,4,FALSE())</f>
        <v>Student</v>
      </c>
      <c r="P829" s="0" t="str">
        <f aca="false">TEXT(B829,"yyyy-mm")</f>
        <v>2025-10</v>
      </c>
    </row>
    <row r="830" customFormat="false" ht="15" hidden="false" customHeight="false" outlineLevel="0" collapsed="false">
      <c r="A830" s="0" t="s">
        <v>996</v>
      </c>
      <c r="B830" s="2" t="n">
        <v>45775</v>
      </c>
      <c r="C830" s="3" t="s">
        <v>72</v>
      </c>
      <c r="D830" s="3" t="s">
        <v>116</v>
      </c>
      <c r="E830" s="3" t="s">
        <v>89</v>
      </c>
      <c r="F830" s="0" t="n">
        <v>1</v>
      </c>
      <c r="G830" s="0" t="n">
        <v>699</v>
      </c>
      <c r="H830" s="0" t="n">
        <v>15</v>
      </c>
      <c r="I830" s="3" t="s">
        <v>447</v>
      </c>
      <c r="J830" s="0" t="n">
        <v>5</v>
      </c>
      <c r="K830" s="3" t="s">
        <v>21</v>
      </c>
      <c r="L830" s="0" t="str">
        <f aca="false">VLOOKUP(D830,Products!$A$2:$D$13,2,FALSE())</f>
        <v>Home</v>
      </c>
      <c r="M830" s="3" t="n">
        <f aca="false">F830*G830*(1-H830/100)</f>
        <v>594.15</v>
      </c>
      <c r="N830" s="0" t="str">
        <f aca="false">VLOOKUP(I830,Customers!$A$2:$D$121,3,FALSE())</f>
        <v>Indore</v>
      </c>
      <c r="O830" s="0" t="str">
        <f aca="false">VLOOKUP(I830,Customers!$A$2:$D$121,4,FALSE())</f>
        <v>Student</v>
      </c>
      <c r="P830" s="0" t="str">
        <f aca="false">TEXT(B830,"yyyy-mm")</f>
        <v>2025-04</v>
      </c>
    </row>
    <row r="831" customFormat="false" ht="15" hidden="false" customHeight="false" outlineLevel="0" collapsed="false">
      <c r="A831" s="0" t="s">
        <v>997</v>
      </c>
      <c r="B831" s="2" t="n">
        <v>45952</v>
      </c>
      <c r="C831" s="3" t="s">
        <v>51</v>
      </c>
      <c r="D831" s="3" t="s">
        <v>108</v>
      </c>
      <c r="E831" s="3" t="s">
        <v>52</v>
      </c>
      <c r="F831" s="0" t="n">
        <v>2</v>
      </c>
      <c r="G831" s="0" t="n">
        <v>180</v>
      </c>
      <c r="H831" s="0" t="n">
        <v>5</v>
      </c>
      <c r="I831" s="3" t="s">
        <v>217</v>
      </c>
      <c r="J831" s="0" t="n">
        <v>4</v>
      </c>
      <c r="K831" s="3" t="s">
        <v>43</v>
      </c>
      <c r="L831" s="0" t="str">
        <f aca="false">VLOOKUP(D831,Products!$A$2:$D$13,2,FALSE())</f>
        <v>Stationery</v>
      </c>
      <c r="M831" s="3" t="n">
        <f aca="false">F831*G831*(1-H831/100)</f>
        <v>342</v>
      </c>
      <c r="N831" s="0" t="str">
        <f aca="false">VLOOKUP(I831,Customers!$A$2:$D$121,3,FALSE())</f>
        <v>Nagpur</v>
      </c>
      <c r="O831" s="0" t="str">
        <f aca="false">VLOOKUP(I831,Customers!$A$2:$D$121,4,FALSE())</f>
        <v>Student</v>
      </c>
      <c r="P831" s="0" t="str">
        <f aca="false">TEXT(B831,"yyyy-mm")</f>
        <v>2025-10</v>
      </c>
    </row>
    <row r="832" customFormat="false" ht="15" hidden="false" customHeight="false" outlineLevel="0" collapsed="false">
      <c r="A832" s="0" t="s">
        <v>998</v>
      </c>
      <c r="B832" s="2" t="n">
        <v>45990</v>
      </c>
      <c r="C832" s="3" t="s">
        <v>51</v>
      </c>
      <c r="D832" s="3" t="s">
        <v>18</v>
      </c>
      <c r="E832" s="3" t="s">
        <v>83</v>
      </c>
      <c r="F832" s="0" t="n">
        <v>1</v>
      </c>
      <c r="G832" s="0" t="n">
        <v>349</v>
      </c>
      <c r="H832" s="0" t="n">
        <v>0</v>
      </c>
      <c r="I832" s="3" t="s">
        <v>258</v>
      </c>
      <c r="J832" s="0" t="n">
        <v>4</v>
      </c>
      <c r="K832" s="3" t="s">
        <v>21</v>
      </c>
      <c r="L832" s="0" t="str">
        <f aca="false">VLOOKUP(D832,Products!$A$2:$D$13,2,FALSE())</f>
        <v>Home</v>
      </c>
      <c r="M832" s="3" t="n">
        <f aca="false">F832*G832*(1-H832/100)</f>
        <v>349</v>
      </c>
      <c r="N832" s="0" t="str">
        <f aca="false">VLOOKUP(I832,Customers!$A$2:$D$121,3,FALSE())</f>
        <v>Kolkata</v>
      </c>
      <c r="O832" s="0" t="str">
        <f aca="false">VLOOKUP(I832,Customers!$A$2:$D$121,4,FALSE())</f>
        <v>Student</v>
      </c>
      <c r="P832" s="0" t="str">
        <f aca="false">TEXT(B832,"yyyy-mm")</f>
        <v>2025-11</v>
      </c>
    </row>
    <row r="833" customFormat="false" ht="15" hidden="false" customHeight="false" outlineLevel="0" collapsed="false">
      <c r="A833" s="0" t="s">
        <v>999</v>
      </c>
      <c r="B833" s="2" t="n">
        <v>45943</v>
      </c>
      <c r="C833" s="3" t="s">
        <v>51</v>
      </c>
      <c r="D833" s="3" t="s">
        <v>37</v>
      </c>
      <c r="E833" s="3" t="s">
        <v>52</v>
      </c>
      <c r="F833" s="0" t="n">
        <v>6</v>
      </c>
      <c r="G833" s="0" t="n">
        <v>500</v>
      </c>
      <c r="H833" s="0" t="n">
        <v>15</v>
      </c>
      <c r="I833" s="3" t="s">
        <v>239</v>
      </c>
      <c r="J833" s="0" t="n">
        <v>5</v>
      </c>
      <c r="K833" s="3" t="s">
        <v>21</v>
      </c>
      <c r="L833" s="0" t="str">
        <f aca="false">VLOOKUP(D833,Products!$A$2:$D$13,2,FALSE())</f>
        <v>Electronics</v>
      </c>
      <c r="M833" s="3" t="n">
        <f aca="false">F833*G833*(1-H833/100)</f>
        <v>2550</v>
      </c>
      <c r="N833" s="0" t="str">
        <f aca="false">VLOOKUP(I833,Customers!$A$2:$D$121,3,FALSE())</f>
        <v>Lucknow</v>
      </c>
      <c r="O833" s="0" t="str">
        <f aca="false">VLOOKUP(I833,Customers!$A$2:$D$121,4,FALSE())</f>
        <v>Retail</v>
      </c>
      <c r="P833" s="0" t="str">
        <f aca="false">TEXT(B833,"yyyy-mm")</f>
        <v>2025-10</v>
      </c>
    </row>
    <row r="834" customFormat="false" ht="15" hidden="false" customHeight="false" outlineLevel="0" collapsed="false">
      <c r="A834" s="0" t="s">
        <v>1000</v>
      </c>
      <c r="B834" s="2" t="n">
        <v>45969</v>
      </c>
      <c r="C834" s="3" t="s">
        <v>72</v>
      </c>
      <c r="D834" s="3" t="s">
        <v>57</v>
      </c>
      <c r="E834" s="3" t="s">
        <v>73</v>
      </c>
      <c r="F834" s="0" t="n">
        <v>1</v>
      </c>
      <c r="G834" s="0" t="n">
        <v>549</v>
      </c>
      <c r="H834" s="0" t="n">
        <v>10</v>
      </c>
      <c r="I834" s="3" t="s">
        <v>79</v>
      </c>
      <c r="J834" s="0" t="n">
        <v>4</v>
      </c>
      <c r="K834" s="3" t="s">
        <v>34</v>
      </c>
      <c r="L834" s="0" t="str">
        <f aca="false">VLOOKUP(D834,Products!$A$2:$D$13,2,FALSE())</f>
        <v>Accessories</v>
      </c>
      <c r="M834" s="3" t="n">
        <f aca="false">F834*G834*(1-H834/100)</f>
        <v>494.1</v>
      </c>
      <c r="N834" s="0" t="str">
        <f aca="false">VLOOKUP(I834,Customers!$A$2:$D$121,3,FALSE())</f>
        <v>Bhopal</v>
      </c>
      <c r="O834" s="0" t="str">
        <f aca="false">VLOOKUP(I834,Customers!$A$2:$D$121,4,FALSE())</f>
        <v>Retail</v>
      </c>
      <c r="P834" s="0" t="str">
        <f aca="false">TEXT(B834,"yyyy-mm")</f>
        <v>2025-11</v>
      </c>
    </row>
    <row r="835" customFormat="false" ht="15" hidden="false" customHeight="false" outlineLevel="0" collapsed="false">
      <c r="A835" s="0" t="s">
        <v>1001</v>
      </c>
      <c r="B835" s="2" t="n">
        <v>45798</v>
      </c>
      <c r="C835" s="3" t="s">
        <v>72</v>
      </c>
      <c r="D835" s="3" t="s">
        <v>37</v>
      </c>
      <c r="E835" s="3" t="s">
        <v>73</v>
      </c>
      <c r="F835" s="0" t="n">
        <v>1</v>
      </c>
      <c r="G835" s="0" t="n">
        <v>500</v>
      </c>
      <c r="H835" s="0" t="n">
        <v>0</v>
      </c>
      <c r="I835" s="3" t="s">
        <v>684</v>
      </c>
      <c r="J835" s="0" t="n">
        <v>4</v>
      </c>
      <c r="K835" s="3" t="s">
        <v>26</v>
      </c>
      <c r="L835" s="0" t="str">
        <f aca="false">VLOOKUP(D835,Products!$A$2:$D$13,2,FALSE())</f>
        <v>Electronics</v>
      </c>
      <c r="M835" s="3" t="n">
        <f aca="false">F835*G835*(1-H835/100)</f>
        <v>500</v>
      </c>
      <c r="N835" s="0" t="str">
        <f aca="false">VLOOKUP(I835,Customers!$A$2:$D$121,3,FALSE())</f>
        <v>Nagpur</v>
      </c>
      <c r="O835" s="0" t="str">
        <f aca="false">VLOOKUP(I835,Customers!$A$2:$D$121,4,FALSE())</f>
        <v>Retail</v>
      </c>
      <c r="P835" s="0" t="str">
        <f aca="false">TEXT(B835,"yyyy-mm")</f>
        <v>2025-05</v>
      </c>
    </row>
    <row r="836" customFormat="false" ht="15" hidden="false" customHeight="false" outlineLevel="0" collapsed="false">
      <c r="A836" s="0" t="s">
        <v>1002</v>
      </c>
      <c r="B836" s="2" t="n">
        <v>45847</v>
      </c>
      <c r="C836" s="3" t="s">
        <v>23</v>
      </c>
      <c r="D836" s="3" t="s">
        <v>48</v>
      </c>
      <c r="E836" s="3" t="s">
        <v>24</v>
      </c>
      <c r="F836" s="0" t="n">
        <v>1</v>
      </c>
      <c r="G836" s="0" t="n">
        <v>199</v>
      </c>
      <c r="H836" s="0" t="n">
        <v>10</v>
      </c>
      <c r="I836" s="3" t="s">
        <v>309</v>
      </c>
      <c r="J836" s="0" t="n">
        <v>4</v>
      </c>
      <c r="K836" s="3" t="s">
        <v>34</v>
      </c>
      <c r="L836" s="0" t="str">
        <f aca="false">VLOOKUP(D836,Products!$A$2:$D$13,2,FALSE())</f>
        <v>Home</v>
      </c>
      <c r="M836" s="3" t="n">
        <f aca="false">F836*G836*(1-H836/100)</f>
        <v>179.1</v>
      </c>
      <c r="N836" s="0" t="str">
        <f aca="false">VLOOKUP(I836,Customers!$A$2:$D$121,3,FALSE())</f>
        <v>Delhi</v>
      </c>
      <c r="O836" s="0" t="str">
        <f aca="false">VLOOKUP(I836,Customers!$A$2:$D$121,4,FALSE())</f>
        <v>Student</v>
      </c>
      <c r="P836" s="0" t="str">
        <f aca="false">TEXT(B836,"yyyy-mm")</f>
        <v>2025-07</v>
      </c>
    </row>
    <row r="837" customFormat="false" ht="15" hidden="false" customHeight="false" outlineLevel="0" collapsed="false">
      <c r="A837" s="0" t="s">
        <v>1003</v>
      </c>
      <c r="B837" s="2" t="n">
        <v>46092</v>
      </c>
      <c r="C837" s="3" t="s">
        <v>17</v>
      </c>
      <c r="D837" s="3" t="s">
        <v>57</v>
      </c>
      <c r="E837" s="3" t="s">
        <v>93</v>
      </c>
      <c r="F837" s="0" t="n">
        <v>10</v>
      </c>
      <c r="G837" s="0" t="n">
        <v>549</v>
      </c>
      <c r="H837" s="0" t="n">
        <v>0</v>
      </c>
      <c r="I837" s="3" t="s">
        <v>125</v>
      </c>
      <c r="J837" s="0" t="n">
        <v>2</v>
      </c>
      <c r="K837" s="3" t="s">
        <v>21</v>
      </c>
      <c r="L837" s="0" t="str">
        <f aca="false">VLOOKUP(D837,Products!$A$2:$D$13,2,FALSE())</f>
        <v>Accessories</v>
      </c>
      <c r="M837" s="3" t="n">
        <f aca="false">F837*G837*(1-H837/100)</f>
        <v>5490</v>
      </c>
      <c r="N837" s="0" t="str">
        <f aca="false">VLOOKUP(I837,Customers!$A$2:$D$121,3,FALSE())</f>
        <v>Lucknow</v>
      </c>
      <c r="O837" s="0" t="str">
        <f aca="false">VLOOKUP(I837,Customers!$A$2:$D$121,4,FALSE())</f>
        <v>Student</v>
      </c>
      <c r="P837" s="0" t="str">
        <f aca="false">TEXT(B837,"yyyy-mm")</f>
        <v>2026-03</v>
      </c>
    </row>
    <row r="838" customFormat="false" ht="15" hidden="false" customHeight="false" outlineLevel="0" collapsed="false">
      <c r="A838" s="0" t="s">
        <v>1004</v>
      </c>
      <c r="B838" s="2" t="n">
        <v>46098</v>
      </c>
      <c r="C838" s="3" t="s">
        <v>17</v>
      </c>
      <c r="D838" s="3" t="s">
        <v>57</v>
      </c>
      <c r="E838" s="3" t="s">
        <v>93</v>
      </c>
      <c r="F838" s="0" t="n">
        <v>2</v>
      </c>
      <c r="G838" s="0" t="n">
        <v>549</v>
      </c>
      <c r="H838" s="0" t="n">
        <v>5</v>
      </c>
      <c r="I838" s="3" t="s">
        <v>141</v>
      </c>
      <c r="J838" s="0" t="n">
        <v>3</v>
      </c>
      <c r="K838" s="3" t="s">
        <v>34</v>
      </c>
      <c r="L838" s="0" t="str">
        <f aca="false">VLOOKUP(D838,Products!$A$2:$D$13,2,FALSE())</f>
        <v>Accessories</v>
      </c>
      <c r="M838" s="3" t="n">
        <f aca="false">F838*G838*(1-H838/100)</f>
        <v>1043.1</v>
      </c>
      <c r="N838" s="0" t="str">
        <f aca="false">VLOOKUP(I838,Customers!$A$2:$D$121,3,FALSE())</f>
        <v>Bhopal</v>
      </c>
      <c r="O838" s="0" t="str">
        <f aca="false">VLOOKUP(I838,Customers!$A$2:$D$121,4,FALSE())</f>
        <v>Student</v>
      </c>
      <c r="P838" s="0" t="str">
        <f aca="false">TEXT(B838,"yyyy-mm")</f>
        <v>2026-03</v>
      </c>
    </row>
    <row r="839" customFormat="false" ht="15" hidden="false" customHeight="false" outlineLevel="0" collapsed="false">
      <c r="A839" s="0" t="s">
        <v>1005</v>
      </c>
      <c r="B839" s="2" t="n">
        <v>45760</v>
      </c>
      <c r="C839" s="3" t="s">
        <v>17</v>
      </c>
      <c r="D839" s="3" t="s">
        <v>28</v>
      </c>
      <c r="E839" s="3" t="s">
        <v>19</v>
      </c>
      <c r="F839" s="0" t="n">
        <v>2</v>
      </c>
      <c r="G839" s="0" t="n">
        <v>450</v>
      </c>
      <c r="H839" s="0" t="n">
        <v>10</v>
      </c>
      <c r="I839" s="3" t="s">
        <v>67</v>
      </c>
      <c r="J839" s="0" t="n">
        <v>2</v>
      </c>
      <c r="K839" s="3" t="s">
        <v>21</v>
      </c>
      <c r="L839" s="0" t="str">
        <f aca="false">VLOOKUP(D839,Products!$A$2:$D$13,2,FALSE())</f>
        <v>Electronics</v>
      </c>
      <c r="M839" s="3" t="n">
        <f aca="false">F839*G839*(1-H839/100)</f>
        <v>810</v>
      </c>
      <c r="N839" s="0" t="str">
        <f aca="false">VLOOKUP(I839,Customers!$A$2:$D$121,3,FALSE())</f>
        <v>Jaipur</v>
      </c>
      <c r="O839" s="0" t="str">
        <f aca="false">VLOOKUP(I839,Customers!$A$2:$D$121,4,FALSE())</f>
        <v>Corporate</v>
      </c>
      <c r="P839" s="0" t="str">
        <f aca="false">TEXT(B839,"yyyy-mm")</f>
        <v>2025-04</v>
      </c>
    </row>
    <row r="840" customFormat="false" ht="15" hidden="false" customHeight="false" outlineLevel="0" collapsed="false">
      <c r="A840" s="0" t="s">
        <v>1006</v>
      </c>
      <c r="B840" s="2" t="n">
        <v>45792</v>
      </c>
      <c r="C840" s="3" t="s">
        <v>17</v>
      </c>
      <c r="D840" s="3" t="s">
        <v>48</v>
      </c>
      <c r="E840" s="3" t="s">
        <v>19</v>
      </c>
      <c r="F840" s="0" t="n">
        <v>1</v>
      </c>
      <c r="G840" s="0" t="n">
        <v>199</v>
      </c>
      <c r="H840" s="0" t="n">
        <v>10</v>
      </c>
      <c r="I840" s="3" t="s">
        <v>123</v>
      </c>
      <c r="J840" s="0" t="n">
        <v>4</v>
      </c>
      <c r="K840" s="3" t="s">
        <v>21</v>
      </c>
      <c r="L840" s="0" t="str">
        <f aca="false">VLOOKUP(D840,Products!$A$2:$D$13,2,FALSE())</f>
        <v>Home</v>
      </c>
      <c r="M840" s="3" t="n">
        <f aca="false">F840*G840*(1-H840/100)</f>
        <v>179.1</v>
      </c>
      <c r="N840" s="0" t="str">
        <f aca="false">VLOOKUP(I840,Customers!$A$2:$D$121,3,FALSE())</f>
        <v>Chennai</v>
      </c>
      <c r="O840" s="0" t="str">
        <f aca="false">VLOOKUP(I840,Customers!$A$2:$D$121,4,FALSE())</f>
        <v>Student</v>
      </c>
      <c r="P840" s="0" t="str">
        <f aca="false">TEXT(B840,"yyyy-mm")</f>
        <v>2025-05</v>
      </c>
    </row>
    <row r="841" customFormat="false" ht="15" hidden="false" customHeight="false" outlineLevel="0" collapsed="false">
      <c r="A841" s="0" t="s">
        <v>1007</v>
      </c>
      <c r="B841" s="2" t="n">
        <v>45877</v>
      </c>
      <c r="C841" s="3" t="s">
        <v>36</v>
      </c>
      <c r="D841" s="3" t="s">
        <v>48</v>
      </c>
      <c r="E841" s="3" t="s">
        <v>38</v>
      </c>
      <c r="F841" s="0" t="n">
        <v>3</v>
      </c>
      <c r="G841" s="0" t="n">
        <v>199</v>
      </c>
      <c r="H841" s="0" t="n">
        <v>0</v>
      </c>
      <c r="I841" s="3" t="s">
        <v>163</v>
      </c>
      <c r="J841" s="0" t="n">
        <v>4</v>
      </c>
      <c r="K841" s="3" t="s">
        <v>43</v>
      </c>
      <c r="L841" s="0" t="str">
        <f aca="false">VLOOKUP(D841,Products!$A$2:$D$13,2,FALSE())</f>
        <v>Home</v>
      </c>
      <c r="M841" s="3" t="n">
        <f aca="false">F841*G841*(1-H841/100)</f>
        <v>597</v>
      </c>
      <c r="N841" s="0" t="str">
        <f aca="false">VLOOKUP(I841,Customers!$A$2:$D$121,3,FALSE())</f>
        <v>Kolkata</v>
      </c>
      <c r="O841" s="0" t="str">
        <f aca="false">VLOOKUP(I841,Customers!$A$2:$D$121,4,FALSE())</f>
        <v>Student</v>
      </c>
      <c r="P841" s="0" t="str">
        <f aca="false">TEXT(B841,"yyyy-mm")</f>
        <v>2025-08</v>
      </c>
    </row>
    <row r="842" customFormat="false" ht="15" hidden="false" customHeight="false" outlineLevel="0" collapsed="false">
      <c r="A842" s="0" t="s">
        <v>1008</v>
      </c>
      <c r="B842" s="2" t="n">
        <v>46102</v>
      </c>
      <c r="C842" s="3" t="s">
        <v>51</v>
      </c>
      <c r="D842" s="3" t="s">
        <v>37</v>
      </c>
      <c r="E842" s="3" t="s">
        <v>83</v>
      </c>
      <c r="F842" s="0" t="n">
        <v>1</v>
      </c>
      <c r="G842" s="0" t="n">
        <v>500</v>
      </c>
      <c r="H842" s="0" t="n">
        <v>15</v>
      </c>
      <c r="I842" s="3" t="s">
        <v>84</v>
      </c>
      <c r="J842" s="0" t="n">
        <v>5</v>
      </c>
      <c r="K842" s="3" t="s">
        <v>26</v>
      </c>
      <c r="L842" s="0" t="str">
        <f aca="false">VLOOKUP(D842,Products!$A$2:$D$13,2,FALSE())</f>
        <v>Electronics</v>
      </c>
      <c r="M842" s="3" t="n">
        <f aca="false">F842*G842*(1-H842/100)</f>
        <v>425</v>
      </c>
      <c r="N842" s="0" t="str">
        <f aca="false">VLOOKUP(I842,Customers!$A$2:$D$121,3,FALSE())</f>
        <v>Bhopal</v>
      </c>
      <c r="O842" s="0" t="str">
        <f aca="false">VLOOKUP(I842,Customers!$A$2:$D$121,4,FALSE())</f>
        <v>Student</v>
      </c>
      <c r="P842" s="0" t="str">
        <f aca="false">TEXT(B842,"yyyy-mm")</f>
        <v>2026-03</v>
      </c>
    </row>
    <row r="843" customFormat="false" ht="15" hidden="false" customHeight="false" outlineLevel="0" collapsed="false">
      <c r="A843" s="0" t="s">
        <v>1009</v>
      </c>
      <c r="B843" s="2" t="n">
        <v>45779</v>
      </c>
      <c r="C843" s="3" t="s">
        <v>72</v>
      </c>
      <c r="D843" s="3" t="s">
        <v>45</v>
      </c>
      <c r="E843" s="3" t="s">
        <v>89</v>
      </c>
      <c r="F843" s="0" t="n">
        <v>4</v>
      </c>
      <c r="G843" s="0" t="n">
        <v>30</v>
      </c>
      <c r="H843" s="0" t="n">
        <v>5</v>
      </c>
      <c r="I843" s="3" t="s">
        <v>536</v>
      </c>
      <c r="J843" s="0" t="n">
        <v>4</v>
      </c>
      <c r="K843" s="3" t="s">
        <v>34</v>
      </c>
      <c r="L843" s="0" t="str">
        <f aca="false">VLOOKUP(D843,Products!$A$2:$D$13,2,FALSE())</f>
        <v>Stationery</v>
      </c>
      <c r="M843" s="3" t="n">
        <f aca="false">F843*G843*(1-H843/100)</f>
        <v>114</v>
      </c>
      <c r="N843" s="0" t="str">
        <f aca="false">VLOOKUP(I843,Customers!$A$2:$D$121,3,FALSE())</f>
        <v>Chennai</v>
      </c>
      <c r="O843" s="0" t="str">
        <f aca="false">VLOOKUP(I843,Customers!$A$2:$D$121,4,FALSE())</f>
        <v>Student</v>
      </c>
      <c r="P843" s="0" t="str">
        <f aca="false">TEXT(B843,"yyyy-mm")</f>
        <v>2025-05</v>
      </c>
    </row>
    <row r="844" customFormat="false" ht="15" hidden="false" customHeight="false" outlineLevel="0" collapsed="false">
      <c r="A844" s="0" t="s">
        <v>1010</v>
      </c>
      <c r="B844" s="2" t="n">
        <v>45973</v>
      </c>
      <c r="C844" s="3" t="s">
        <v>36</v>
      </c>
      <c r="D844" s="3" t="s">
        <v>37</v>
      </c>
      <c r="E844" s="3" t="s">
        <v>38</v>
      </c>
      <c r="F844" s="0" t="n">
        <v>1</v>
      </c>
      <c r="G844" s="0" t="n">
        <v>500</v>
      </c>
      <c r="H844" s="0" t="n">
        <v>0</v>
      </c>
      <c r="I844" s="3" t="s">
        <v>96</v>
      </c>
      <c r="J844" s="0" t="n">
        <v>5</v>
      </c>
      <c r="K844" s="3" t="s">
        <v>43</v>
      </c>
      <c r="L844" s="0" t="str">
        <f aca="false">VLOOKUP(D844,Products!$A$2:$D$13,2,FALSE())</f>
        <v>Electronics</v>
      </c>
      <c r="M844" s="3" t="n">
        <f aca="false">F844*G844*(1-H844/100)</f>
        <v>500</v>
      </c>
      <c r="N844" s="0" t="str">
        <f aca="false">VLOOKUP(I844,Customers!$A$2:$D$121,3,FALSE())</f>
        <v>Delhi</v>
      </c>
      <c r="O844" s="0" t="str">
        <f aca="false">VLOOKUP(I844,Customers!$A$2:$D$121,4,FALSE())</f>
        <v>Retail</v>
      </c>
      <c r="P844" s="0" t="str">
        <f aca="false">TEXT(B844,"yyyy-mm")</f>
        <v>2025-11</v>
      </c>
    </row>
    <row r="845" customFormat="false" ht="15" hidden="false" customHeight="false" outlineLevel="0" collapsed="false">
      <c r="A845" s="0" t="s">
        <v>1011</v>
      </c>
      <c r="B845" s="2" t="n">
        <v>45803</v>
      </c>
      <c r="C845" s="3" t="s">
        <v>51</v>
      </c>
      <c r="D845" s="3" t="s">
        <v>108</v>
      </c>
      <c r="E845" s="3" t="s">
        <v>52</v>
      </c>
      <c r="F845" s="0" t="n">
        <v>1</v>
      </c>
      <c r="G845" s="0" t="n">
        <v>180</v>
      </c>
      <c r="H845" s="0" t="n">
        <v>0</v>
      </c>
      <c r="I845" s="3" t="s">
        <v>106</v>
      </c>
      <c r="J845" s="0" t="n">
        <v>5</v>
      </c>
      <c r="K845" s="3" t="s">
        <v>21</v>
      </c>
      <c r="L845" s="0" t="str">
        <f aca="false">VLOOKUP(D845,Products!$A$2:$D$13,2,FALSE())</f>
        <v>Stationery</v>
      </c>
      <c r="M845" s="3" t="n">
        <f aca="false">F845*G845*(1-H845/100)</f>
        <v>180</v>
      </c>
      <c r="N845" s="0" t="str">
        <f aca="false">VLOOKUP(I845,Customers!$A$2:$D$121,3,FALSE())</f>
        <v>Bhopal</v>
      </c>
      <c r="O845" s="0" t="str">
        <f aca="false">VLOOKUP(I845,Customers!$A$2:$D$121,4,FALSE())</f>
        <v>Corporate</v>
      </c>
      <c r="P845" s="0" t="str">
        <f aca="false">TEXT(B845,"yyyy-mm")</f>
        <v>2025-05</v>
      </c>
    </row>
    <row r="846" customFormat="false" ht="15" hidden="false" customHeight="false" outlineLevel="0" collapsed="false">
      <c r="A846" s="0" t="s">
        <v>1012</v>
      </c>
      <c r="B846" s="2" t="n">
        <v>45800</v>
      </c>
      <c r="C846" s="3" t="s">
        <v>72</v>
      </c>
      <c r="D846" s="3" t="s">
        <v>32</v>
      </c>
      <c r="E846" s="3" t="s">
        <v>73</v>
      </c>
      <c r="F846" s="0" t="n">
        <v>1</v>
      </c>
      <c r="G846" s="0" t="n">
        <v>249</v>
      </c>
      <c r="H846" s="0" t="n">
        <v>0</v>
      </c>
      <c r="I846" s="3" t="s">
        <v>225</v>
      </c>
      <c r="J846" s="0" t="n">
        <v>2</v>
      </c>
      <c r="K846" s="3" t="s">
        <v>43</v>
      </c>
      <c r="L846" s="0" t="str">
        <f aca="false">VLOOKUP(D846,Products!$A$2:$D$13,2,FALSE())</f>
        <v>Accessories</v>
      </c>
      <c r="M846" s="3" t="n">
        <f aca="false">F846*G846*(1-H846/100)</f>
        <v>249</v>
      </c>
      <c r="N846" s="0" t="str">
        <f aca="false">VLOOKUP(I846,Customers!$A$2:$D$121,3,FALSE())</f>
        <v>Bhopal</v>
      </c>
      <c r="O846" s="0" t="str">
        <f aca="false">VLOOKUP(I846,Customers!$A$2:$D$121,4,FALSE())</f>
        <v>Retail</v>
      </c>
      <c r="P846" s="0" t="str">
        <f aca="false">TEXT(B846,"yyyy-mm")</f>
        <v>2025-05</v>
      </c>
    </row>
    <row r="847" customFormat="false" ht="15" hidden="false" customHeight="false" outlineLevel="0" collapsed="false">
      <c r="A847" s="0" t="s">
        <v>1013</v>
      </c>
      <c r="B847" s="2" t="n">
        <v>45824</v>
      </c>
      <c r="C847" s="3" t="s">
        <v>51</v>
      </c>
      <c r="D847" s="3" t="s">
        <v>60</v>
      </c>
      <c r="E847" s="3" t="s">
        <v>52</v>
      </c>
      <c r="F847" s="0" t="n">
        <v>2</v>
      </c>
      <c r="G847" s="0" t="n">
        <v>40</v>
      </c>
      <c r="H847" s="0" t="n">
        <v>15</v>
      </c>
      <c r="I847" s="3" t="s">
        <v>53</v>
      </c>
      <c r="J847" s="0" t="n">
        <v>1</v>
      </c>
      <c r="K847" s="3" t="s">
        <v>43</v>
      </c>
      <c r="L847" s="0" t="str">
        <f aca="false">VLOOKUP(D847,Products!$A$2:$D$13,2,FALSE())</f>
        <v>Stationery</v>
      </c>
      <c r="M847" s="3" t="n">
        <f aca="false">F847*G847*(1-H847/100)</f>
        <v>68</v>
      </c>
      <c r="N847" s="0" t="str">
        <f aca="false">VLOOKUP(I847,Customers!$A$2:$D$121,3,FALSE())</f>
        <v>Nagpur</v>
      </c>
      <c r="O847" s="0" t="str">
        <f aca="false">VLOOKUP(I847,Customers!$A$2:$D$121,4,FALSE())</f>
        <v>Retail</v>
      </c>
      <c r="P847" s="0" t="str">
        <f aca="false">TEXT(B847,"yyyy-mm")</f>
        <v>2025-06</v>
      </c>
    </row>
    <row r="848" customFormat="false" ht="15" hidden="false" customHeight="false" outlineLevel="0" collapsed="false">
      <c r="A848" s="0" t="s">
        <v>1014</v>
      </c>
      <c r="B848" s="2" t="n">
        <v>46106</v>
      </c>
      <c r="C848" s="3" t="s">
        <v>36</v>
      </c>
      <c r="D848" s="3" t="s">
        <v>37</v>
      </c>
      <c r="E848" s="3" t="s">
        <v>38</v>
      </c>
      <c r="F848" s="0" t="n">
        <v>2</v>
      </c>
      <c r="G848" s="0" t="n">
        <v>500</v>
      </c>
      <c r="H848" s="0" t="n">
        <v>0</v>
      </c>
      <c r="I848" s="3" t="s">
        <v>94</v>
      </c>
      <c r="J848" s="0" t="n">
        <v>4</v>
      </c>
      <c r="K848" s="3" t="s">
        <v>43</v>
      </c>
      <c r="L848" s="0" t="str">
        <f aca="false">VLOOKUP(D848,Products!$A$2:$D$13,2,FALSE())</f>
        <v>Electronics</v>
      </c>
      <c r="M848" s="3" t="n">
        <f aca="false">F848*G848*(1-H848/100)</f>
        <v>1000</v>
      </c>
      <c r="N848" s="0" t="str">
        <f aca="false">VLOOKUP(I848,Customers!$A$2:$D$121,3,FALSE())</f>
        <v>Chennai</v>
      </c>
      <c r="O848" s="0" t="str">
        <f aca="false">VLOOKUP(I848,Customers!$A$2:$D$121,4,FALSE())</f>
        <v>Corporate</v>
      </c>
      <c r="P848" s="0" t="str">
        <f aca="false">TEXT(B848,"yyyy-mm")</f>
        <v>2026-03</v>
      </c>
    </row>
    <row r="849" customFormat="false" ht="15" hidden="false" customHeight="false" outlineLevel="0" collapsed="false">
      <c r="A849" s="0" t="s">
        <v>1015</v>
      </c>
      <c r="B849" s="2" t="n">
        <v>45954</v>
      </c>
      <c r="C849" s="3" t="s">
        <v>51</v>
      </c>
      <c r="D849" s="3" t="s">
        <v>32</v>
      </c>
      <c r="E849" s="3" t="s">
        <v>52</v>
      </c>
      <c r="F849" s="0" t="n">
        <v>1</v>
      </c>
      <c r="G849" s="0" t="n">
        <v>249</v>
      </c>
      <c r="H849" s="0" t="n">
        <v>15</v>
      </c>
      <c r="I849" s="3" t="s">
        <v>337</v>
      </c>
      <c r="J849" s="0" t="n">
        <v>5</v>
      </c>
      <c r="K849" s="3" t="s">
        <v>26</v>
      </c>
      <c r="L849" s="0" t="str">
        <f aca="false">VLOOKUP(D849,Products!$A$2:$D$13,2,FALSE())</f>
        <v>Accessories</v>
      </c>
      <c r="M849" s="3" t="n">
        <f aca="false">F849*G849*(1-H849/100)</f>
        <v>211.65</v>
      </c>
      <c r="N849" s="0" t="str">
        <f aca="false">VLOOKUP(I849,Customers!$A$2:$D$121,3,FALSE())</f>
        <v>Lucknow</v>
      </c>
      <c r="O849" s="0" t="str">
        <f aca="false">VLOOKUP(I849,Customers!$A$2:$D$121,4,FALSE())</f>
        <v>Student</v>
      </c>
      <c r="P849" s="0" t="str">
        <f aca="false">TEXT(B849,"yyyy-mm")</f>
        <v>2025-10</v>
      </c>
    </row>
    <row r="850" customFormat="false" ht="15" hidden="false" customHeight="false" outlineLevel="0" collapsed="false">
      <c r="A850" s="0" t="s">
        <v>1016</v>
      </c>
      <c r="B850" s="2" t="n">
        <v>46100</v>
      </c>
      <c r="C850" s="3" t="s">
        <v>51</v>
      </c>
      <c r="D850" s="3" t="s">
        <v>60</v>
      </c>
      <c r="E850" s="3" t="s">
        <v>83</v>
      </c>
      <c r="F850" s="0" t="n">
        <v>3</v>
      </c>
      <c r="G850" s="0" t="n">
        <v>40</v>
      </c>
      <c r="H850" s="0" t="n">
        <v>5</v>
      </c>
      <c r="I850" s="3" t="s">
        <v>243</v>
      </c>
      <c r="J850" s="0" t="n">
        <v>4</v>
      </c>
      <c r="K850" s="3" t="s">
        <v>34</v>
      </c>
      <c r="L850" s="0" t="str">
        <f aca="false">VLOOKUP(D850,Products!$A$2:$D$13,2,FALSE())</f>
        <v>Stationery</v>
      </c>
      <c r="M850" s="3" t="n">
        <f aca="false">F850*G850*(1-H850/100)</f>
        <v>114</v>
      </c>
      <c r="N850" s="0" t="str">
        <f aca="false">VLOOKUP(I850,Customers!$A$2:$D$121,3,FALSE())</f>
        <v>Jaipur</v>
      </c>
      <c r="O850" s="0" t="str">
        <f aca="false">VLOOKUP(I850,Customers!$A$2:$D$121,4,FALSE())</f>
        <v>Corporate</v>
      </c>
      <c r="P850" s="0" t="str">
        <f aca="false">TEXT(B850,"yyyy-mm")</f>
        <v>2026-03</v>
      </c>
    </row>
    <row r="851" customFormat="false" ht="15" hidden="false" customHeight="false" outlineLevel="0" collapsed="false">
      <c r="A851" s="0" t="s">
        <v>1017</v>
      </c>
      <c r="B851" s="2" t="n">
        <v>45953</v>
      </c>
      <c r="C851" s="3" t="s">
        <v>72</v>
      </c>
      <c r="D851" s="3" t="s">
        <v>18</v>
      </c>
      <c r="E851" s="3" t="s">
        <v>89</v>
      </c>
      <c r="F851" s="0" t="n">
        <v>2</v>
      </c>
      <c r="G851" s="0" t="n">
        <v>349</v>
      </c>
      <c r="H851" s="0" t="n">
        <v>0</v>
      </c>
      <c r="I851" s="3" t="s">
        <v>261</v>
      </c>
      <c r="J851" s="0" t="n">
        <v>5</v>
      </c>
      <c r="K851" s="3" t="s">
        <v>34</v>
      </c>
      <c r="L851" s="0" t="str">
        <f aca="false">VLOOKUP(D851,Products!$A$2:$D$13,2,FALSE())</f>
        <v>Home</v>
      </c>
      <c r="M851" s="3" t="n">
        <f aca="false">F851*G851*(1-H851/100)</f>
        <v>698</v>
      </c>
      <c r="N851" s="0" t="str">
        <f aca="false">VLOOKUP(I851,Customers!$A$2:$D$121,3,FALSE())</f>
        <v>Mumbai</v>
      </c>
      <c r="O851" s="0" t="str">
        <f aca="false">VLOOKUP(I851,Customers!$A$2:$D$121,4,FALSE())</f>
        <v>Corporate</v>
      </c>
      <c r="P851" s="0" t="str">
        <f aca="false">TEXT(B851,"yyyy-mm")</f>
        <v>2025-10</v>
      </c>
    </row>
    <row r="852" customFormat="false" ht="15" hidden="false" customHeight="false" outlineLevel="0" collapsed="false">
      <c r="A852" s="0" t="s">
        <v>1018</v>
      </c>
      <c r="B852" s="2" t="n">
        <v>45789</v>
      </c>
      <c r="C852" s="3" t="s">
        <v>72</v>
      </c>
      <c r="D852" s="3" t="s">
        <v>57</v>
      </c>
      <c r="E852" s="3" t="s">
        <v>89</v>
      </c>
      <c r="F852" s="0" t="n">
        <v>2</v>
      </c>
      <c r="G852" s="0" t="n">
        <v>549</v>
      </c>
      <c r="H852" s="0" t="n">
        <v>5</v>
      </c>
      <c r="I852" s="3" t="s">
        <v>33</v>
      </c>
      <c r="J852" s="0" t="n">
        <v>5</v>
      </c>
      <c r="K852" s="3" t="s">
        <v>26</v>
      </c>
      <c r="L852" s="0" t="str">
        <f aca="false">VLOOKUP(D852,Products!$A$2:$D$13,2,FALSE())</f>
        <v>Accessories</v>
      </c>
      <c r="M852" s="3" t="n">
        <f aca="false">F852*G852*(1-H852/100)</f>
        <v>1043.1</v>
      </c>
      <c r="N852" s="0" t="str">
        <f aca="false">VLOOKUP(I852,Customers!$A$2:$D$121,3,FALSE())</f>
        <v>Indore</v>
      </c>
      <c r="O852" s="0" t="str">
        <f aca="false">VLOOKUP(I852,Customers!$A$2:$D$121,4,FALSE())</f>
        <v>Corporate</v>
      </c>
      <c r="P852" s="0" t="str">
        <f aca="false">TEXT(B852,"yyyy-mm")</f>
        <v>2025-05</v>
      </c>
    </row>
    <row r="853" customFormat="false" ht="15" hidden="false" customHeight="false" outlineLevel="0" collapsed="false">
      <c r="A853" s="0" t="s">
        <v>1019</v>
      </c>
      <c r="B853" s="2" t="n">
        <v>45944</v>
      </c>
      <c r="C853" s="3" t="s">
        <v>17</v>
      </c>
      <c r="D853" s="3" t="s">
        <v>57</v>
      </c>
      <c r="E853" s="3" t="s">
        <v>93</v>
      </c>
      <c r="F853" s="0" t="n">
        <v>1</v>
      </c>
      <c r="G853" s="0" t="n">
        <v>549</v>
      </c>
      <c r="H853" s="0" t="n">
        <v>15</v>
      </c>
      <c r="I853" s="3" t="s">
        <v>102</v>
      </c>
      <c r="J853" s="0" t="n">
        <v>3</v>
      </c>
      <c r="K853" s="3" t="s">
        <v>21</v>
      </c>
      <c r="L853" s="0" t="str">
        <f aca="false">VLOOKUP(D853,Products!$A$2:$D$13,2,FALSE())</f>
        <v>Accessories</v>
      </c>
      <c r="M853" s="3" t="n">
        <f aca="false">F853*G853*(1-H853/100)</f>
        <v>466.65</v>
      </c>
      <c r="N853" s="0" t="str">
        <f aca="false">VLOOKUP(I853,Customers!$A$2:$D$121,3,FALSE())</f>
        <v>Jaipur</v>
      </c>
      <c r="O853" s="0" t="str">
        <f aca="false">VLOOKUP(I853,Customers!$A$2:$D$121,4,FALSE())</f>
        <v>Corporate</v>
      </c>
      <c r="P853" s="0" t="str">
        <f aca="false">TEXT(B853,"yyyy-mm")</f>
        <v>2025-10</v>
      </c>
    </row>
    <row r="854" customFormat="false" ht="15" hidden="false" customHeight="false" outlineLevel="0" collapsed="false">
      <c r="A854" s="0" t="s">
        <v>1020</v>
      </c>
      <c r="B854" s="2" t="n">
        <v>45997</v>
      </c>
      <c r="C854" s="3" t="s">
        <v>72</v>
      </c>
      <c r="D854" s="3" t="s">
        <v>18</v>
      </c>
      <c r="E854" s="3" t="s">
        <v>89</v>
      </c>
      <c r="F854" s="0" t="n">
        <v>1</v>
      </c>
      <c r="G854" s="0" t="n">
        <v>349</v>
      </c>
      <c r="H854" s="0" t="n">
        <v>0</v>
      </c>
      <c r="I854" s="3" t="s">
        <v>231</v>
      </c>
      <c r="J854" s="0" t="n">
        <v>4</v>
      </c>
      <c r="K854" s="3" t="s">
        <v>26</v>
      </c>
      <c r="L854" s="0" t="str">
        <f aca="false">VLOOKUP(D854,Products!$A$2:$D$13,2,FALSE())</f>
        <v>Home</v>
      </c>
      <c r="M854" s="3" t="n">
        <f aca="false">F854*G854*(1-H854/100)</f>
        <v>349</v>
      </c>
      <c r="N854" s="0" t="str">
        <f aca="false">VLOOKUP(I854,Customers!$A$2:$D$121,3,FALSE())</f>
        <v>Pune</v>
      </c>
      <c r="O854" s="0" t="str">
        <f aca="false">VLOOKUP(I854,Customers!$A$2:$D$121,4,FALSE())</f>
        <v>Retail</v>
      </c>
      <c r="P854" s="0" t="str">
        <f aca="false">TEXT(B854,"yyyy-mm")</f>
        <v>2025-12</v>
      </c>
    </row>
    <row r="855" customFormat="false" ht="15" hidden="false" customHeight="false" outlineLevel="0" collapsed="false">
      <c r="A855" s="0" t="s">
        <v>1021</v>
      </c>
      <c r="B855" s="2" t="n">
        <v>45760</v>
      </c>
      <c r="C855" s="3" t="s">
        <v>36</v>
      </c>
      <c r="D855" s="3" t="s">
        <v>60</v>
      </c>
      <c r="E855" s="3" t="s">
        <v>69</v>
      </c>
      <c r="F855" s="0" t="n">
        <v>2</v>
      </c>
      <c r="G855" s="0" t="n">
        <v>40</v>
      </c>
      <c r="H855" s="0" t="n">
        <v>15</v>
      </c>
      <c r="I855" s="3" t="s">
        <v>335</v>
      </c>
      <c r="J855" s="0" t="n">
        <v>3</v>
      </c>
      <c r="K855" s="3" t="s">
        <v>21</v>
      </c>
      <c r="L855" s="0" t="str">
        <f aca="false">VLOOKUP(D855,Products!$A$2:$D$13,2,FALSE())</f>
        <v>Stationery</v>
      </c>
      <c r="M855" s="3" t="n">
        <f aca="false">F855*G855*(1-H855/100)</f>
        <v>68</v>
      </c>
      <c r="N855" s="0" t="str">
        <f aca="false">VLOOKUP(I855,Customers!$A$2:$D$121,3,FALSE())</f>
        <v>Bhopal</v>
      </c>
      <c r="O855" s="0" t="str">
        <f aca="false">VLOOKUP(I855,Customers!$A$2:$D$121,4,FALSE())</f>
        <v>Retail</v>
      </c>
      <c r="P855" s="0" t="str">
        <f aca="false">TEXT(B855,"yyyy-mm")</f>
        <v>2025-04</v>
      </c>
    </row>
    <row r="856" customFormat="false" ht="15" hidden="false" customHeight="false" outlineLevel="0" collapsed="false">
      <c r="A856" s="0" t="s">
        <v>1022</v>
      </c>
      <c r="B856" s="2" t="n">
        <v>46003</v>
      </c>
      <c r="C856" s="3" t="s">
        <v>72</v>
      </c>
      <c r="D856" s="3" t="s">
        <v>57</v>
      </c>
      <c r="E856" s="3" t="s">
        <v>89</v>
      </c>
      <c r="F856" s="0" t="n">
        <v>1</v>
      </c>
      <c r="G856" s="0" t="n">
        <v>549</v>
      </c>
      <c r="H856" s="0" t="n">
        <v>10</v>
      </c>
      <c r="I856" s="3" t="s">
        <v>125</v>
      </c>
      <c r="J856" s="0" t="n">
        <v>5</v>
      </c>
      <c r="K856" s="3" t="s">
        <v>21</v>
      </c>
      <c r="L856" s="0" t="str">
        <f aca="false">VLOOKUP(D856,Products!$A$2:$D$13,2,FALSE())</f>
        <v>Accessories</v>
      </c>
      <c r="M856" s="3" t="n">
        <f aca="false">F856*G856*(1-H856/100)</f>
        <v>494.1</v>
      </c>
      <c r="N856" s="0" t="str">
        <f aca="false">VLOOKUP(I856,Customers!$A$2:$D$121,3,FALSE())</f>
        <v>Lucknow</v>
      </c>
      <c r="O856" s="0" t="str">
        <f aca="false">VLOOKUP(I856,Customers!$A$2:$D$121,4,FALSE())</f>
        <v>Student</v>
      </c>
      <c r="P856" s="0" t="str">
        <f aca="false">TEXT(B856,"yyyy-mm")</f>
        <v>2025-12</v>
      </c>
    </row>
    <row r="857" customFormat="false" ht="15" hidden="false" customHeight="false" outlineLevel="0" collapsed="false">
      <c r="A857" s="0" t="s">
        <v>1023</v>
      </c>
      <c r="B857" s="2" t="n">
        <v>45920</v>
      </c>
      <c r="C857" s="3" t="s">
        <v>17</v>
      </c>
      <c r="D857" s="3" t="s">
        <v>41</v>
      </c>
      <c r="E857" s="3" t="s">
        <v>19</v>
      </c>
      <c r="F857" s="0" t="n">
        <v>1</v>
      </c>
      <c r="G857" s="0" t="n">
        <v>399</v>
      </c>
      <c r="H857" s="0" t="n">
        <v>15</v>
      </c>
      <c r="I857" s="3" t="s">
        <v>158</v>
      </c>
      <c r="J857" s="0" t="n">
        <v>4</v>
      </c>
      <c r="K857" s="3" t="s">
        <v>43</v>
      </c>
      <c r="L857" s="0" t="str">
        <f aca="false">VLOOKUP(D857,Products!$A$2:$D$13,2,FALSE())</f>
        <v>Electronics</v>
      </c>
      <c r="M857" s="3" t="n">
        <f aca="false">F857*G857*(1-H857/100)</f>
        <v>339.15</v>
      </c>
      <c r="N857" s="0" t="str">
        <f aca="false">VLOOKUP(I857,Customers!$A$2:$D$121,3,FALSE())</f>
        <v>Mumbai</v>
      </c>
      <c r="O857" s="0" t="str">
        <f aca="false">VLOOKUP(I857,Customers!$A$2:$D$121,4,FALSE())</f>
        <v>Retail</v>
      </c>
      <c r="P857" s="0" t="str">
        <f aca="false">TEXT(B857,"yyyy-mm")</f>
        <v>2025-09</v>
      </c>
    </row>
    <row r="858" customFormat="false" ht="15" hidden="false" customHeight="false" outlineLevel="0" collapsed="false">
      <c r="A858" s="0" t="s">
        <v>1024</v>
      </c>
      <c r="B858" s="2" t="n">
        <v>45824</v>
      </c>
      <c r="C858" s="3" t="s">
        <v>23</v>
      </c>
      <c r="D858" s="3" t="s">
        <v>18</v>
      </c>
      <c r="E858" s="3" t="s">
        <v>24</v>
      </c>
      <c r="F858" s="0" t="n">
        <v>4</v>
      </c>
      <c r="G858" s="0" t="n">
        <v>349</v>
      </c>
      <c r="H858" s="0" t="n">
        <v>15</v>
      </c>
      <c r="I858" s="3" t="s">
        <v>118</v>
      </c>
      <c r="J858" s="0" t="n">
        <v>3</v>
      </c>
      <c r="K858" s="3" t="s">
        <v>21</v>
      </c>
      <c r="L858" s="0" t="str">
        <f aca="false">VLOOKUP(D858,Products!$A$2:$D$13,2,FALSE())</f>
        <v>Home</v>
      </c>
      <c r="M858" s="3" t="n">
        <f aca="false">F858*G858*(1-H858/100)</f>
        <v>1186.6</v>
      </c>
      <c r="N858" s="0" t="str">
        <f aca="false">VLOOKUP(I858,Customers!$A$2:$D$121,3,FALSE())</f>
        <v>Indore</v>
      </c>
      <c r="O858" s="0" t="str">
        <f aca="false">VLOOKUP(I858,Customers!$A$2:$D$121,4,FALSE())</f>
        <v>Retail</v>
      </c>
      <c r="P858" s="0" t="str">
        <f aca="false">TEXT(B858,"yyyy-mm")</f>
        <v>2025-06</v>
      </c>
    </row>
    <row r="859" customFormat="false" ht="15" hidden="false" customHeight="false" outlineLevel="0" collapsed="false">
      <c r="A859" s="0" t="s">
        <v>1025</v>
      </c>
      <c r="B859" s="2" t="n">
        <v>45998</v>
      </c>
      <c r="C859" s="3" t="s">
        <v>36</v>
      </c>
      <c r="D859" s="3" t="s">
        <v>48</v>
      </c>
      <c r="E859" s="3" t="s">
        <v>38</v>
      </c>
      <c r="F859" s="0" t="n">
        <v>5</v>
      </c>
      <c r="G859" s="0" t="n">
        <v>199</v>
      </c>
      <c r="H859" s="0" t="n">
        <v>15</v>
      </c>
      <c r="I859" s="3" t="s">
        <v>172</v>
      </c>
      <c r="J859" s="0" t="n">
        <v>4</v>
      </c>
      <c r="K859" s="3" t="s">
        <v>26</v>
      </c>
      <c r="L859" s="0" t="str">
        <f aca="false">VLOOKUP(D859,Products!$A$2:$D$13,2,FALSE())</f>
        <v>Home</v>
      </c>
      <c r="M859" s="3" t="n">
        <f aca="false">F859*G859*(1-H859/100)</f>
        <v>845.75</v>
      </c>
      <c r="N859" s="0" t="str">
        <f aca="false">VLOOKUP(I859,Customers!$A$2:$D$121,3,FALSE())</f>
        <v>Delhi</v>
      </c>
      <c r="O859" s="0" t="str">
        <f aca="false">VLOOKUP(I859,Customers!$A$2:$D$121,4,FALSE())</f>
        <v>Retail</v>
      </c>
      <c r="P859" s="0" t="str">
        <f aca="false">TEXT(B859,"yyyy-mm")</f>
        <v>2025-12</v>
      </c>
    </row>
    <row r="860" customFormat="false" ht="15" hidden="false" customHeight="false" outlineLevel="0" collapsed="false">
      <c r="A860" s="0" t="s">
        <v>1026</v>
      </c>
      <c r="B860" s="2" t="n">
        <v>45755</v>
      </c>
      <c r="C860" s="3" t="s">
        <v>36</v>
      </c>
      <c r="D860" s="3" t="s">
        <v>48</v>
      </c>
      <c r="E860" s="3" t="s">
        <v>69</v>
      </c>
      <c r="F860" s="0" t="n">
        <v>1</v>
      </c>
      <c r="G860" s="0" t="n">
        <v>199</v>
      </c>
      <c r="H860" s="0" t="n">
        <v>0</v>
      </c>
      <c r="I860" s="3" t="s">
        <v>261</v>
      </c>
      <c r="J860" s="0" t="n">
        <v>1</v>
      </c>
      <c r="K860" s="3" t="s">
        <v>21</v>
      </c>
      <c r="L860" s="0" t="str">
        <f aca="false">VLOOKUP(D860,Products!$A$2:$D$13,2,FALSE())</f>
        <v>Home</v>
      </c>
      <c r="M860" s="3" t="n">
        <f aca="false">F860*G860*(1-H860/100)</f>
        <v>199</v>
      </c>
      <c r="N860" s="0" t="str">
        <f aca="false">VLOOKUP(I860,Customers!$A$2:$D$121,3,FALSE())</f>
        <v>Mumbai</v>
      </c>
      <c r="O860" s="0" t="str">
        <f aca="false">VLOOKUP(I860,Customers!$A$2:$D$121,4,FALSE())</f>
        <v>Corporate</v>
      </c>
      <c r="P860" s="0" t="str">
        <f aca="false">TEXT(B860,"yyyy-mm")</f>
        <v>2025-04</v>
      </c>
    </row>
    <row r="861" customFormat="false" ht="15" hidden="false" customHeight="false" outlineLevel="0" collapsed="false">
      <c r="A861" s="0" t="s">
        <v>1027</v>
      </c>
      <c r="B861" s="2" t="n">
        <v>45835</v>
      </c>
      <c r="C861" s="3" t="s">
        <v>23</v>
      </c>
      <c r="D861" s="3" t="s">
        <v>32</v>
      </c>
      <c r="E861" s="3" t="s">
        <v>24</v>
      </c>
      <c r="F861" s="0" t="n">
        <v>1</v>
      </c>
      <c r="G861" s="0" t="n">
        <v>249</v>
      </c>
      <c r="H861" s="0" t="n">
        <v>10</v>
      </c>
      <c r="I861" s="3" t="s">
        <v>191</v>
      </c>
      <c r="J861" s="0" t="n">
        <v>5</v>
      </c>
      <c r="K861" s="3" t="s">
        <v>21</v>
      </c>
      <c r="L861" s="0" t="str">
        <f aca="false">VLOOKUP(D861,Products!$A$2:$D$13,2,FALSE())</f>
        <v>Accessories</v>
      </c>
      <c r="M861" s="3" t="n">
        <f aca="false">F861*G861*(1-H861/100)</f>
        <v>224.1</v>
      </c>
      <c r="N861" s="0" t="str">
        <f aca="false">VLOOKUP(I861,Customers!$A$2:$D$121,3,FALSE())</f>
        <v>Lucknow</v>
      </c>
      <c r="O861" s="0" t="str">
        <f aca="false">VLOOKUP(I861,Customers!$A$2:$D$121,4,FALSE())</f>
        <v>Student</v>
      </c>
      <c r="P861" s="0" t="str">
        <f aca="false">TEXT(B861,"yyyy-mm")</f>
        <v>2025-06</v>
      </c>
    </row>
    <row r="862" customFormat="false" ht="15" hidden="false" customHeight="false" outlineLevel="0" collapsed="false">
      <c r="A862" s="0" t="s">
        <v>1028</v>
      </c>
      <c r="B862" s="2" t="n">
        <v>46063</v>
      </c>
      <c r="C862" s="3" t="s">
        <v>23</v>
      </c>
      <c r="D862" s="3" t="s">
        <v>32</v>
      </c>
      <c r="E862" s="3" t="s">
        <v>29</v>
      </c>
      <c r="F862" s="0" t="n">
        <v>2</v>
      </c>
      <c r="G862" s="0" t="n">
        <v>249</v>
      </c>
      <c r="H862" s="0" t="n">
        <v>0</v>
      </c>
      <c r="I862" s="3" t="s">
        <v>191</v>
      </c>
      <c r="J862" s="0" t="n">
        <v>5</v>
      </c>
      <c r="K862" s="3" t="s">
        <v>34</v>
      </c>
      <c r="L862" s="0" t="str">
        <f aca="false">VLOOKUP(D862,Products!$A$2:$D$13,2,FALSE())</f>
        <v>Accessories</v>
      </c>
      <c r="M862" s="3" t="n">
        <f aca="false">F862*G862*(1-H862/100)</f>
        <v>498</v>
      </c>
      <c r="N862" s="0" t="str">
        <f aca="false">VLOOKUP(I862,Customers!$A$2:$D$121,3,FALSE())</f>
        <v>Lucknow</v>
      </c>
      <c r="O862" s="0" t="str">
        <f aca="false">VLOOKUP(I862,Customers!$A$2:$D$121,4,FALSE())</f>
        <v>Student</v>
      </c>
      <c r="P862" s="0" t="str">
        <f aca="false">TEXT(B862,"yyyy-mm")</f>
        <v>2026-02</v>
      </c>
    </row>
    <row r="863" customFormat="false" ht="15" hidden="false" customHeight="false" outlineLevel="0" collapsed="false">
      <c r="A863" s="0" t="s">
        <v>1029</v>
      </c>
      <c r="B863" s="2" t="n">
        <v>45914</v>
      </c>
      <c r="C863" s="3" t="s">
        <v>51</v>
      </c>
      <c r="D863" s="3" t="s">
        <v>48</v>
      </c>
      <c r="E863" s="3" t="s">
        <v>52</v>
      </c>
      <c r="F863" s="0" t="n">
        <v>1</v>
      </c>
      <c r="G863" s="0" t="n">
        <v>199</v>
      </c>
      <c r="H863" s="0" t="n">
        <v>0</v>
      </c>
      <c r="I863" s="3" t="s">
        <v>74</v>
      </c>
      <c r="J863" s="0" t="n">
        <v>4</v>
      </c>
      <c r="K863" s="3" t="s">
        <v>34</v>
      </c>
      <c r="L863" s="0" t="str">
        <f aca="false">VLOOKUP(D863,Products!$A$2:$D$13,2,FALSE())</f>
        <v>Home</v>
      </c>
      <c r="M863" s="3" t="n">
        <f aca="false">F863*G863*(1-H863/100)</f>
        <v>199</v>
      </c>
      <c r="N863" s="0" t="str">
        <f aca="false">VLOOKUP(I863,Customers!$A$2:$D$121,3,FALSE())</f>
        <v>Lucknow</v>
      </c>
      <c r="O863" s="0" t="str">
        <f aca="false">VLOOKUP(I863,Customers!$A$2:$D$121,4,FALSE())</f>
        <v>Retail</v>
      </c>
      <c r="P863" s="0" t="str">
        <f aca="false">TEXT(B863,"yyyy-mm")</f>
        <v>2025-09</v>
      </c>
    </row>
    <row r="864" customFormat="false" ht="15" hidden="false" customHeight="false" outlineLevel="0" collapsed="false">
      <c r="A864" s="0" t="s">
        <v>1030</v>
      </c>
      <c r="B864" s="2" t="n">
        <v>46051</v>
      </c>
      <c r="C864" s="3" t="s">
        <v>17</v>
      </c>
      <c r="D864" s="3" t="s">
        <v>28</v>
      </c>
      <c r="E864" s="3" t="s">
        <v>93</v>
      </c>
      <c r="F864" s="0" t="n">
        <v>1</v>
      </c>
      <c r="G864" s="0" t="n">
        <v>450</v>
      </c>
      <c r="H864" s="0" t="n">
        <v>0</v>
      </c>
      <c r="I864" s="3" t="s">
        <v>256</v>
      </c>
      <c r="J864" s="0" t="n">
        <v>2</v>
      </c>
      <c r="K864" s="3" t="s">
        <v>26</v>
      </c>
      <c r="L864" s="0" t="str">
        <f aca="false">VLOOKUP(D864,Products!$A$2:$D$13,2,FALSE())</f>
        <v>Electronics</v>
      </c>
      <c r="M864" s="3" t="n">
        <f aca="false">F864*G864*(1-H864/100)</f>
        <v>450</v>
      </c>
      <c r="N864" s="0" t="str">
        <f aca="false">VLOOKUP(I864,Customers!$A$2:$D$121,3,FALSE())</f>
        <v>Lucknow</v>
      </c>
      <c r="O864" s="0" t="str">
        <f aca="false">VLOOKUP(I864,Customers!$A$2:$D$121,4,FALSE())</f>
        <v>Corporate</v>
      </c>
      <c r="P864" s="0" t="str">
        <f aca="false">TEXT(B864,"yyyy-mm")</f>
        <v>2026-01</v>
      </c>
    </row>
    <row r="865" customFormat="false" ht="15" hidden="false" customHeight="false" outlineLevel="0" collapsed="false">
      <c r="A865" s="0" t="s">
        <v>1031</v>
      </c>
      <c r="B865" s="2" t="n">
        <v>46104</v>
      </c>
      <c r="C865" s="3" t="s">
        <v>36</v>
      </c>
      <c r="D865" s="3" t="s">
        <v>88</v>
      </c>
      <c r="E865" s="3" t="s">
        <v>38</v>
      </c>
      <c r="F865" s="0" t="n">
        <v>1</v>
      </c>
      <c r="G865" s="0" t="n">
        <v>799</v>
      </c>
      <c r="H865" s="0" t="n">
        <v>0</v>
      </c>
      <c r="I865" s="3" t="s">
        <v>205</v>
      </c>
      <c r="J865" s="0" t="n">
        <v>3</v>
      </c>
      <c r="K865" s="3" t="s">
        <v>21</v>
      </c>
      <c r="L865" s="0" t="str">
        <f aca="false">VLOOKUP(D865,Products!$A$2:$D$13,2,FALSE())</f>
        <v>Accessories</v>
      </c>
      <c r="M865" s="3" t="n">
        <f aca="false">F865*G865*(1-H865/100)</f>
        <v>799</v>
      </c>
      <c r="N865" s="0" t="str">
        <f aca="false">VLOOKUP(I865,Customers!$A$2:$D$121,3,FALSE())</f>
        <v>Jaipur</v>
      </c>
      <c r="O865" s="0" t="str">
        <f aca="false">VLOOKUP(I865,Customers!$A$2:$D$121,4,FALSE())</f>
        <v>Student</v>
      </c>
      <c r="P865" s="0" t="str">
        <f aca="false">TEXT(B865,"yyyy-mm")</f>
        <v>2026-03</v>
      </c>
    </row>
    <row r="866" customFormat="false" ht="15" hidden="false" customHeight="false" outlineLevel="0" collapsed="false">
      <c r="A866" s="0" t="s">
        <v>1032</v>
      </c>
      <c r="B866" s="2" t="n">
        <v>46071</v>
      </c>
      <c r="C866" s="3" t="s">
        <v>17</v>
      </c>
      <c r="D866" s="3" t="s">
        <v>108</v>
      </c>
      <c r="E866" s="3" t="s">
        <v>19</v>
      </c>
      <c r="F866" s="0" t="n">
        <v>3</v>
      </c>
      <c r="G866" s="0" t="n">
        <v>180</v>
      </c>
      <c r="H866" s="0" t="n">
        <v>10</v>
      </c>
      <c r="I866" s="3" t="s">
        <v>58</v>
      </c>
      <c r="J866" s="0" t="n">
        <v>5</v>
      </c>
      <c r="K866" s="3" t="s">
        <v>43</v>
      </c>
      <c r="L866" s="0" t="str">
        <f aca="false">VLOOKUP(D866,Products!$A$2:$D$13,2,FALSE())</f>
        <v>Stationery</v>
      </c>
      <c r="M866" s="3" t="n">
        <f aca="false">F866*G866*(1-H866/100)</f>
        <v>486</v>
      </c>
      <c r="N866" s="0" t="str">
        <f aca="false">VLOOKUP(I866,Customers!$A$2:$D$121,3,FALSE())</f>
        <v>Kolkata</v>
      </c>
      <c r="O866" s="0" t="str">
        <f aca="false">VLOOKUP(I866,Customers!$A$2:$D$121,4,FALSE())</f>
        <v>Corporate</v>
      </c>
      <c r="P866" s="0" t="str">
        <f aca="false">TEXT(B866,"yyyy-mm")</f>
        <v>2026-02</v>
      </c>
    </row>
    <row r="867" customFormat="false" ht="15" hidden="false" customHeight="false" outlineLevel="0" collapsed="false">
      <c r="A867" s="0" t="s">
        <v>1033</v>
      </c>
      <c r="B867" s="2" t="n">
        <v>45751</v>
      </c>
      <c r="C867" s="3" t="s">
        <v>17</v>
      </c>
      <c r="D867" s="3" t="s">
        <v>45</v>
      </c>
      <c r="E867" s="3" t="s">
        <v>93</v>
      </c>
      <c r="F867" s="0" t="n">
        <v>2</v>
      </c>
      <c r="G867" s="0" t="n">
        <v>30</v>
      </c>
      <c r="H867" s="0" t="n">
        <v>0</v>
      </c>
      <c r="I867" s="3" t="s">
        <v>110</v>
      </c>
      <c r="J867" s="0" t="n">
        <v>2</v>
      </c>
      <c r="K867" s="3" t="s">
        <v>43</v>
      </c>
      <c r="L867" s="0" t="str">
        <f aca="false">VLOOKUP(D867,Products!$A$2:$D$13,2,FALSE())</f>
        <v>Stationery</v>
      </c>
      <c r="M867" s="3" t="n">
        <f aca="false">F867*G867*(1-H867/100)</f>
        <v>60</v>
      </c>
      <c r="N867" s="0" t="str">
        <f aca="false">VLOOKUP(I867,Customers!$A$2:$D$121,3,FALSE())</f>
        <v>Pune</v>
      </c>
      <c r="O867" s="0" t="str">
        <f aca="false">VLOOKUP(I867,Customers!$A$2:$D$121,4,FALSE())</f>
        <v>Retail</v>
      </c>
      <c r="P867" s="0" t="str">
        <f aca="false">TEXT(B867,"yyyy-mm")</f>
        <v>2025-04</v>
      </c>
    </row>
    <row r="868" customFormat="false" ht="15" hidden="false" customHeight="false" outlineLevel="0" collapsed="false">
      <c r="A868" s="0" t="s">
        <v>1034</v>
      </c>
      <c r="B868" s="2" t="n">
        <v>46102</v>
      </c>
      <c r="C868" s="3" t="s">
        <v>51</v>
      </c>
      <c r="D868" s="3" t="s">
        <v>48</v>
      </c>
      <c r="E868" s="3" t="s">
        <v>83</v>
      </c>
      <c r="F868" s="0" t="n">
        <v>1</v>
      </c>
      <c r="G868" s="0" t="n">
        <v>199</v>
      </c>
      <c r="H868" s="0" t="n">
        <v>0</v>
      </c>
      <c r="I868" s="3" t="s">
        <v>296</v>
      </c>
      <c r="J868" s="3" t="s">
        <v>416</v>
      </c>
      <c r="K868" s="3" t="s">
        <v>43</v>
      </c>
      <c r="L868" s="0" t="str">
        <f aca="false">VLOOKUP(D868,Products!$A$2:$D$13,2,FALSE())</f>
        <v>Home</v>
      </c>
      <c r="M868" s="3" t="n">
        <f aca="false">F868*G868*(1-H868/100)</f>
        <v>199</v>
      </c>
      <c r="N868" s="0" t="str">
        <f aca="false">VLOOKUP(I868,Customers!$A$2:$D$121,3,FALSE())</f>
        <v>Pune</v>
      </c>
      <c r="O868" s="0" t="str">
        <f aca="false">VLOOKUP(I868,Customers!$A$2:$D$121,4,FALSE())</f>
        <v>Retail</v>
      </c>
      <c r="P868" s="0" t="str">
        <f aca="false">TEXT(B868,"yyyy-mm")</f>
        <v>2026-03</v>
      </c>
    </row>
    <row r="869" customFormat="false" ht="15" hidden="false" customHeight="false" outlineLevel="0" collapsed="false">
      <c r="A869" s="0" t="s">
        <v>1035</v>
      </c>
      <c r="B869" s="2" t="n">
        <v>45837</v>
      </c>
      <c r="C869" s="3" t="s">
        <v>36</v>
      </c>
      <c r="D869" s="3" t="s">
        <v>88</v>
      </c>
      <c r="E869" s="3" t="s">
        <v>38</v>
      </c>
      <c r="F869" s="0" t="n">
        <v>1</v>
      </c>
      <c r="G869" s="0" t="n">
        <v>799</v>
      </c>
      <c r="H869" s="0" t="n">
        <v>10</v>
      </c>
      <c r="I869" s="3" t="s">
        <v>161</v>
      </c>
      <c r="J869" s="0" t="n">
        <v>1</v>
      </c>
      <c r="K869" s="3" t="s">
        <v>43</v>
      </c>
      <c r="L869" s="0" t="str">
        <f aca="false">VLOOKUP(D869,Products!$A$2:$D$13,2,FALSE())</f>
        <v>Accessories</v>
      </c>
      <c r="M869" s="3" t="n">
        <f aca="false">F869*G869*(1-H869/100)</f>
        <v>719.1</v>
      </c>
      <c r="N869" s="0" t="str">
        <f aca="false">VLOOKUP(I869,Customers!$A$2:$D$121,3,FALSE())</f>
        <v>Lucknow</v>
      </c>
      <c r="O869" s="0" t="str">
        <f aca="false">VLOOKUP(I869,Customers!$A$2:$D$121,4,FALSE())</f>
        <v>Corporate</v>
      </c>
      <c r="P869" s="0" t="str">
        <f aca="false">TEXT(B869,"yyyy-mm")</f>
        <v>2025-06</v>
      </c>
    </row>
    <row r="870" customFormat="false" ht="15" hidden="false" customHeight="false" outlineLevel="0" collapsed="false">
      <c r="A870" s="0" t="s">
        <v>1036</v>
      </c>
      <c r="B870" s="2" t="n">
        <v>46069</v>
      </c>
      <c r="C870" s="3" t="s">
        <v>17</v>
      </c>
      <c r="D870" s="3" t="s">
        <v>116</v>
      </c>
      <c r="E870" s="3" t="s">
        <v>19</v>
      </c>
      <c r="F870" s="0" t="n">
        <v>1</v>
      </c>
      <c r="G870" s="0" t="n">
        <v>699</v>
      </c>
      <c r="H870" s="0" t="n">
        <v>0</v>
      </c>
      <c r="I870" s="3" t="s">
        <v>141</v>
      </c>
      <c r="J870" s="0" t="n">
        <v>4</v>
      </c>
      <c r="K870" s="3" t="s">
        <v>26</v>
      </c>
      <c r="L870" s="0" t="str">
        <f aca="false">VLOOKUP(D870,Products!$A$2:$D$13,2,FALSE())</f>
        <v>Home</v>
      </c>
      <c r="M870" s="3" t="n">
        <f aca="false">F870*G870*(1-H870/100)</f>
        <v>699</v>
      </c>
      <c r="N870" s="0" t="str">
        <f aca="false">VLOOKUP(I870,Customers!$A$2:$D$121,3,FALSE())</f>
        <v>Bhopal</v>
      </c>
      <c r="O870" s="0" t="str">
        <f aca="false">VLOOKUP(I870,Customers!$A$2:$D$121,4,FALSE())</f>
        <v>Student</v>
      </c>
      <c r="P870" s="0" t="str">
        <f aca="false">TEXT(B870,"yyyy-mm")</f>
        <v>2026-02</v>
      </c>
    </row>
    <row r="871" customFormat="false" ht="15" hidden="false" customHeight="false" outlineLevel="0" collapsed="false">
      <c r="A871" s="0" t="s">
        <v>1037</v>
      </c>
      <c r="B871" s="2" t="n">
        <v>45796</v>
      </c>
      <c r="C871" s="3" t="s">
        <v>23</v>
      </c>
      <c r="D871" s="3" t="s">
        <v>45</v>
      </c>
      <c r="E871" s="3" t="s">
        <v>24</v>
      </c>
      <c r="F871" s="0" t="n">
        <v>2</v>
      </c>
      <c r="G871" s="0" t="n">
        <v>30</v>
      </c>
      <c r="H871" s="0" t="n">
        <v>10</v>
      </c>
      <c r="I871" s="3" t="s">
        <v>193</v>
      </c>
      <c r="J871" s="0" t="n">
        <v>5</v>
      </c>
      <c r="K871" s="3" t="s">
        <v>43</v>
      </c>
      <c r="L871" s="0" t="str">
        <f aca="false">VLOOKUP(D871,Products!$A$2:$D$13,2,FALSE())</f>
        <v>Stationery</v>
      </c>
      <c r="M871" s="3" t="n">
        <f aca="false">F871*G871*(1-H871/100)</f>
        <v>54</v>
      </c>
      <c r="N871" s="0" t="str">
        <f aca="false">VLOOKUP(I871,Customers!$A$2:$D$121,3,FALSE())</f>
        <v>Delhi</v>
      </c>
      <c r="O871" s="0" t="str">
        <f aca="false">VLOOKUP(I871,Customers!$A$2:$D$121,4,FALSE())</f>
        <v>Retail</v>
      </c>
      <c r="P871" s="0" t="str">
        <f aca="false">TEXT(B871,"yyyy-mm")</f>
        <v>2025-05</v>
      </c>
    </row>
    <row r="872" customFormat="false" ht="15" hidden="false" customHeight="false" outlineLevel="0" collapsed="false">
      <c r="A872" s="0" t="s">
        <v>1038</v>
      </c>
      <c r="B872" s="2" t="n">
        <v>45889</v>
      </c>
      <c r="C872" s="3" t="s">
        <v>36</v>
      </c>
      <c r="D872" s="3" t="s">
        <v>18</v>
      </c>
      <c r="E872" s="3" t="s">
        <v>38</v>
      </c>
      <c r="F872" s="0" t="n">
        <v>1</v>
      </c>
      <c r="G872" s="0" t="n">
        <v>349</v>
      </c>
      <c r="H872" s="0" t="n">
        <v>0</v>
      </c>
      <c r="I872" s="3" t="s">
        <v>102</v>
      </c>
      <c r="J872" s="0" t="n">
        <v>2</v>
      </c>
      <c r="K872" s="3" t="s">
        <v>43</v>
      </c>
      <c r="L872" s="0" t="str">
        <f aca="false">VLOOKUP(D872,Products!$A$2:$D$13,2,FALSE())</f>
        <v>Home</v>
      </c>
      <c r="M872" s="3" t="n">
        <f aca="false">F872*G872*(1-H872/100)</f>
        <v>349</v>
      </c>
      <c r="N872" s="0" t="str">
        <f aca="false">VLOOKUP(I872,Customers!$A$2:$D$121,3,FALSE())</f>
        <v>Jaipur</v>
      </c>
      <c r="O872" s="0" t="str">
        <f aca="false">VLOOKUP(I872,Customers!$A$2:$D$121,4,FALSE())</f>
        <v>Corporate</v>
      </c>
      <c r="P872" s="0" t="str">
        <f aca="false">TEXT(B872,"yyyy-mm")</f>
        <v>2025-08</v>
      </c>
    </row>
    <row r="873" customFormat="false" ht="15" hidden="false" customHeight="false" outlineLevel="0" collapsed="false">
      <c r="A873" s="0" t="s">
        <v>1039</v>
      </c>
      <c r="B873" s="2" t="n">
        <v>45829</v>
      </c>
      <c r="C873" s="3" t="s">
        <v>36</v>
      </c>
      <c r="D873" s="3" t="s">
        <v>32</v>
      </c>
      <c r="E873" s="3" t="s">
        <v>69</v>
      </c>
      <c r="F873" s="0" t="n">
        <v>1</v>
      </c>
      <c r="G873" s="0" t="n">
        <v>249</v>
      </c>
      <c r="H873" s="0" t="n">
        <v>15</v>
      </c>
      <c r="I873" s="3" t="s">
        <v>110</v>
      </c>
      <c r="J873" s="0" t="n">
        <v>1</v>
      </c>
      <c r="K873" s="3" t="s">
        <v>34</v>
      </c>
      <c r="L873" s="0" t="str">
        <f aca="false">VLOOKUP(D873,Products!$A$2:$D$13,2,FALSE())</f>
        <v>Accessories</v>
      </c>
      <c r="M873" s="3" t="n">
        <f aca="false">F873*G873*(1-H873/100)</f>
        <v>211.65</v>
      </c>
      <c r="N873" s="0" t="str">
        <f aca="false">VLOOKUP(I873,Customers!$A$2:$D$121,3,FALSE())</f>
        <v>Pune</v>
      </c>
      <c r="O873" s="0" t="str">
        <f aca="false">VLOOKUP(I873,Customers!$A$2:$D$121,4,FALSE())</f>
        <v>Retail</v>
      </c>
      <c r="P873" s="0" t="str">
        <f aca="false">TEXT(B873,"yyyy-mm")</f>
        <v>2025-06</v>
      </c>
    </row>
    <row r="874" customFormat="false" ht="15" hidden="false" customHeight="false" outlineLevel="0" collapsed="false">
      <c r="A874" s="0" t="s">
        <v>1040</v>
      </c>
      <c r="B874" s="2" t="n">
        <v>45876</v>
      </c>
      <c r="C874" s="3" t="s">
        <v>51</v>
      </c>
      <c r="D874" s="3" t="s">
        <v>28</v>
      </c>
      <c r="E874" s="3" t="s">
        <v>83</v>
      </c>
      <c r="F874" s="0" t="n">
        <v>3</v>
      </c>
      <c r="G874" s="0" t="n">
        <v>450</v>
      </c>
      <c r="H874" s="0" t="n">
        <v>0</v>
      </c>
      <c r="I874" s="3" t="s">
        <v>198</v>
      </c>
      <c r="J874" s="0" t="n">
        <v>5</v>
      </c>
      <c r="K874" s="3" t="s">
        <v>21</v>
      </c>
      <c r="L874" s="0" t="str">
        <f aca="false">VLOOKUP(D874,Products!$A$2:$D$13,2,FALSE())</f>
        <v>Electronics</v>
      </c>
      <c r="M874" s="3" t="n">
        <f aca="false">F874*G874*(1-H874/100)</f>
        <v>1350</v>
      </c>
      <c r="N874" s="0" t="str">
        <f aca="false">VLOOKUP(I874,Customers!$A$2:$D$121,3,FALSE())</f>
        <v>Bhopal</v>
      </c>
      <c r="O874" s="0" t="str">
        <f aca="false">VLOOKUP(I874,Customers!$A$2:$D$121,4,FALSE())</f>
        <v>Student</v>
      </c>
      <c r="P874" s="0" t="str">
        <f aca="false">TEXT(B874,"yyyy-mm")</f>
        <v>2025-08</v>
      </c>
    </row>
    <row r="875" customFormat="false" ht="15" hidden="false" customHeight="false" outlineLevel="0" collapsed="false">
      <c r="A875" s="0" t="s">
        <v>1041</v>
      </c>
      <c r="B875" s="2" t="n">
        <v>46023</v>
      </c>
      <c r="C875" s="3" t="s">
        <v>17</v>
      </c>
      <c r="D875" s="3" t="s">
        <v>45</v>
      </c>
      <c r="E875" s="3" t="s">
        <v>93</v>
      </c>
      <c r="F875" s="0" t="n">
        <v>1</v>
      </c>
      <c r="G875" s="0" t="n">
        <v>30</v>
      </c>
      <c r="H875" s="0" t="n">
        <v>0</v>
      </c>
      <c r="I875" s="3" t="s">
        <v>359</v>
      </c>
      <c r="J875" s="3" t="s">
        <v>416</v>
      </c>
      <c r="K875" s="3" t="s">
        <v>21</v>
      </c>
      <c r="L875" s="0" t="str">
        <f aca="false">VLOOKUP(D875,Products!$A$2:$D$13,2,FALSE())</f>
        <v>Stationery</v>
      </c>
      <c r="M875" s="3" t="n">
        <f aca="false">F875*G875*(1-H875/100)</f>
        <v>30</v>
      </c>
      <c r="N875" s="0" t="str">
        <f aca="false">VLOOKUP(I875,Customers!$A$2:$D$121,3,FALSE())</f>
        <v>Mumbai</v>
      </c>
      <c r="O875" s="0" t="str">
        <f aca="false">VLOOKUP(I875,Customers!$A$2:$D$121,4,FALSE())</f>
        <v>Retail</v>
      </c>
      <c r="P875" s="0" t="str">
        <f aca="false">TEXT(B875,"yyyy-mm")</f>
        <v>2026-01</v>
      </c>
    </row>
    <row r="876" customFormat="false" ht="15" hidden="false" customHeight="false" outlineLevel="0" collapsed="false">
      <c r="A876" s="0" t="s">
        <v>1042</v>
      </c>
      <c r="B876" s="2" t="n">
        <v>45975</v>
      </c>
      <c r="C876" s="3" t="s">
        <v>36</v>
      </c>
      <c r="D876" s="3" t="s">
        <v>45</v>
      </c>
      <c r="E876" s="3" t="s">
        <v>38</v>
      </c>
      <c r="F876" s="0" t="n">
        <v>2</v>
      </c>
      <c r="G876" s="0" t="n">
        <v>30</v>
      </c>
      <c r="H876" s="0" t="n">
        <v>10</v>
      </c>
      <c r="I876" s="3" t="s">
        <v>118</v>
      </c>
      <c r="J876" s="0" t="n">
        <v>3</v>
      </c>
      <c r="K876" s="3" t="s">
        <v>34</v>
      </c>
      <c r="L876" s="0" t="str">
        <f aca="false">VLOOKUP(D876,Products!$A$2:$D$13,2,FALSE())</f>
        <v>Stationery</v>
      </c>
      <c r="M876" s="3" t="n">
        <f aca="false">F876*G876*(1-H876/100)</f>
        <v>54</v>
      </c>
      <c r="N876" s="0" t="str">
        <f aca="false">VLOOKUP(I876,Customers!$A$2:$D$121,3,FALSE())</f>
        <v>Indore</v>
      </c>
      <c r="O876" s="0" t="str">
        <f aca="false">VLOOKUP(I876,Customers!$A$2:$D$121,4,FALSE())</f>
        <v>Retail</v>
      </c>
      <c r="P876" s="0" t="str">
        <f aca="false">TEXT(B876,"yyyy-mm")</f>
        <v>2025-11</v>
      </c>
    </row>
    <row r="877" customFormat="false" ht="15" hidden="false" customHeight="false" outlineLevel="0" collapsed="false">
      <c r="A877" s="0" t="s">
        <v>1043</v>
      </c>
      <c r="B877" s="2" t="n">
        <v>45914</v>
      </c>
      <c r="C877" s="3" t="s">
        <v>17</v>
      </c>
      <c r="D877" s="3" t="s">
        <v>28</v>
      </c>
      <c r="E877" s="3" t="s">
        <v>93</v>
      </c>
      <c r="F877" s="0" t="n">
        <v>1</v>
      </c>
      <c r="G877" s="0" t="n">
        <v>450</v>
      </c>
      <c r="H877" s="0" t="n">
        <v>0</v>
      </c>
      <c r="I877" s="3" t="s">
        <v>98</v>
      </c>
      <c r="J877" s="0" t="n">
        <v>3</v>
      </c>
      <c r="K877" s="3" t="s">
        <v>26</v>
      </c>
      <c r="L877" s="0" t="str">
        <f aca="false">VLOOKUP(D877,Products!$A$2:$D$13,2,FALSE())</f>
        <v>Electronics</v>
      </c>
      <c r="M877" s="3" t="n">
        <f aca="false">F877*G877*(1-H877/100)</f>
        <v>450</v>
      </c>
      <c r="N877" s="0" t="str">
        <f aca="false">VLOOKUP(I877,Customers!$A$2:$D$121,3,FALSE())</f>
        <v>Pune</v>
      </c>
      <c r="O877" s="0" t="str">
        <f aca="false">VLOOKUP(I877,Customers!$A$2:$D$121,4,FALSE())</f>
        <v>Retail</v>
      </c>
      <c r="P877" s="0" t="str">
        <f aca="false">TEXT(B877,"yyyy-mm")</f>
        <v>2025-09</v>
      </c>
    </row>
    <row r="878" customFormat="false" ht="15" hidden="false" customHeight="false" outlineLevel="0" collapsed="false">
      <c r="A878" s="0" t="s">
        <v>1044</v>
      </c>
      <c r="B878" s="2" t="n">
        <v>45785</v>
      </c>
      <c r="C878" s="3" t="s">
        <v>36</v>
      </c>
      <c r="D878" s="3" t="s">
        <v>88</v>
      </c>
      <c r="E878" s="3" t="s">
        <v>69</v>
      </c>
      <c r="F878" s="0" t="n">
        <v>1</v>
      </c>
      <c r="G878" s="0" t="n">
        <v>799</v>
      </c>
      <c r="H878" s="0" t="n">
        <v>5</v>
      </c>
      <c r="I878" s="3" t="s">
        <v>118</v>
      </c>
      <c r="J878" s="0" t="n">
        <v>4</v>
      </c>
      <c r="K878" s="3" t="s">
        <v>26</v>
      </c>
      <c r="L878" s="0" t="str">
        <f aca="false">VLOOKUP(D878,Products!$A$2:$D$13,2,FALSE())</f>
        <v>Accessories</v>
      </c>
      <c r="M878" s="3" t="n">
        <f aca="false">F878*G878*(1-H878/100)</f>
        <v>759.05</v>
      </c>
      <c r="N878" s="0" t="str">
        <f aca="false">VLOOKUP(I878,Customers!$A$2:$D$121,3,FALSE())</f>
        <v>Indore</v>
      </c>
      <c r="O878" s="0" t="str">
        <f aca="false">VLOOKUP(I878,Customers!$A$2:$D$121,4,FALSE())</f>
        <v>Retail</v>
      </c>
      <c r="P878" s="0" t="str">
        <f aca="false">TEXT(B878,"yyyy-mm")</f>
        <v>2025-05</v>
      </c>
    </row>
    <row r="879" customFormat="false" ht="15" hidden="false" customHeight="false" outlineLevel="0" collapsed="false">
      <c r="A879" s="0" t="s">
        <v>1045</v>
      </c>
      <c r="B879" s="2" t="n">
        <v>45980</v>
      </c>
      <c r="C879" s="3" t="s">
        <v>23</v>
      </c>
      <c r="D879" s="3" t="s">
        <v>28</v>
      </c>
      <c r="E879" s="3" t="s">
        <v>29</v>
      </c>
      <c r="F879" s="0" t="n">
        <v>1</v>
      </c>
      <c r="G879" s="0" t="n">
        <v>450</v>
      </c>
      <c r="H879" s="0" t="n">
        <v>0</v>
      </c>
      <c r="I879" s="3" t="s">
        <v>536</v>
      </c>
      <c r="J879" s="0" t="n">
        <v>4</v>
      </c>
      <c r="K879" s="3" t="s">
        <v>26</v>
      </c>
      <c r="L879" s="0" t="str">
        <f aca="false">VLOOKUP(D879,Products!$A$2:$D$13,2,FALSE())</f>
        <v>Electronics</v>
      </c>
      <c r="M879" s="3" t="n">
        <f aca="false">F879*G879*(1-H879/100)</f>
        <v>450</v>
      </c>
      <c r="N879" s="0" t="str">
        <f aca="false">VLOOKUP(I879,Customers!$A$2:$D$121,3,FALSE())</f>
        <v>Chennai</v>
      </c>
      <c r="O879" s="0" t="str">
        <f aca="false">VLOOKUP(I879,Customers!$A$2:$D$121,4,FALSE())</f>
        <v>Student</v>
      </c>
      <c r="P879" s="0" t="str">
        <f aca="false">TEXT(B879,"yyyy-mm")</f>
        <v>2025-11</v>
      </c>
    </row>
    <row r="880" customFormat="false" ht="15" hidden="false" customHeight="false" outlineLevel="0" collapsed="false">
      <c r="A880" s="0" t="s">
        <v>1046</v>
      </c>
      <c r="B880" s="2" t="n">
        <v>45886</v>
      </c>
      <c r="C880" s="3" t="s">
        <v>72</v>
      </c>
      <c r="D880" s="3" t="s">
        <v>18</v>
      </c>
      <c r="E880" s="3" t="s">
        <v>89</v>
      </c>
      <c r="F880" s="0" t="n">
        <v>3</v>
      </c>
      <c r="G880" s="0" t="n">
        <v>349</v>
      </c>
      <c r="H880" s="0" t="n">
        <v>0</v>
      </c>
      <c r="I880" s="3" t="s">
        <v>256</v>
      </c>
      <c r="J880" s="0" t="n">
        <v>2</v>
      </c>
      <c r="K880" s="3" t="s">
        <v>34</v>
      </c>
      <c r="L880" s="0" t="str">
        <f aca="false">VLOOKUP(D880,Products!$A$2:$D$13,2,FALSE())</f>
        <v>Home</v>
      </c>
      <c r="M880" s="3" t="n">
        <f aca="false">F880*G880*(1-H880/100)</f>
        <v>1047</v>
      </c>
      <c r="N880" s="0" t="str">
        <f aca="false">VLOOKUP(I880,Customers!$A$2:$D$121,3,FALSE())</f>
        <v>Lucknow</v>
      </c>
      <c r="O880" s="0" t="str">
        <f aca="false">VLOOKUP(I880,Customers!$A$2:$D$121,4,FALSE())</f>
        <v>Corporate</v>
      </c>
      <c r="P880" s="0" t="str">
        <f aca="false">TEXT(B880,"yyyy-mm")</f>
        <v>2025-08</v>
      </c>
    </row>
    <row r="881" customFormat="false" ht="15" hidden="false" customHeight="false" outlineLevel="0" collapsed="false">
      <c r="A881" s="0" t="s">
        <v>1047</v>
      </c>
      <c r="B881" s="2" t="n">
        <v>45986</v>
      </c>
      <c r="C881" s="3" t="s">
        <v>17</v>
      </c>
      <c r="D881" s="3" t="s">
        <v>108</v>
      </c>
      <c r="E881" s="3" t="s">
        <v>93</v>
      </c>
      <c r="F881" s="0" t="n">
        <v>4</v>
      </c>
      <c r="G881" s="0" t="n">
        <v>180</v>
      </c>
      <c r="H881" s="0" t="n">
        <v>5</v>
      </c>
      <c r="I881" s="3" t="s">
        <v>322</v>
      </c>
      <c r="J881" s="0" t="n">
        <v>3</v>
      </c>
      <c r="K881" s="3" t="s">
        <v>26</v>
      </c>
      <c r="L881" s="0" t="str">
        <f aca="false">VLOOKUP(D881,Products!$A$2:$D$13,2,FALSE())</f>
        <v>Stationery</v>
      </c>
      <c r="M881" s="3" t="n">
        <f aca="false">F881*G881*(1-H881/100)</f>
        <v>684</v>
      </c>
      <c r="N881" s="0" t="str">
        <f aca="false">VLOOKUP(I881,Customers!$A$2:$D$121,3,FALSE())</f>
        <v>Kolkata</v>
      </c>
      <c r="O881" s="0" t="str">
        <f aca="false">VLOOKUP(I881,Customers!$A$2:$D$121,4,FALSE())</f>
        <v>Retail</v>
      </c>
      <c r="P881" s="0" t="str">
        <f aca="false">TEXT(B881,"yyyy-mm")</f>
        <v>2025-11</v>
      </c>
    </row>
    <row r="882" customFormat="false" ht="15" hidden="false" customHeight="false" outlineLevel="0" collapsed="false">
      <c r="A882" s="0" t="s">
        <v>1048</v>
      </c>
      <c r="B882" s="2" t="n">
        <v>45828</v>
      </c>
      <c r="C882" s="3" t="s">
        <v>23</v>
      </c>
      <c r="D882" s="3" t="s">
        <v>37</v>
      </c>
      <c r="E882" s="3" t="s">
        <v>24</v>
      </c>
      <c r="F882" s="0" t="n">
        <v>3</v>
      </c>
      <c r="G882" s="0" t="n">
        <v>500</v>
      </c>
      <c r="H882" s="0" t="n">
        <v>15</v>
      </c>
      <c r="I882" s="3" t="s">
        <v>198</v>
      </c>
      <c r="J882" s="0" t="n">
        <v>5</v>
      </c>
      <c r="K882" s="3" t="s">
        <v>21</v>
      </c>
      <c r="L882" s="0" t="str">
        <f aca="false">VLOOKUP(D882,Products!$A$2:$D$13,2,FALSE())</f>
        <v>Electronics</v>
      </c>
      <c r="M882" s="3" t="n">
        <f aca="false">F882*G882*(1-H882/100)</f>
        <v>1275</v>
      </c>
      <c r="N882" s="0" t="str">
        <f aca="false">VLOOKUP(I882,Customers!$A$2:$D$121,3,FALSE())</f>
        <v>Bhopal</v>
      </c>
      <c r="O882" s="0" t="str">
        <f aca="false">VLOOKUP(I882,Customers!$A$2:$D$121,4,FALSE())</f>
        <v>Student</v>
      </c>
      <c r="P882" s="0" t="str">
        <f aca="false">TEXT(B882,"yyyy-mm")</f>
        <v>2025-06</v>
      </c>
    </row>
    <row r="883" customFormat="false" ht="15" hidden="false" customHeight="false" outlineLevel="0" collapsed="false">
      <c r="A883" s="0" t="s">
        <v>1049</v>
      </c>
      <c r="B883" s="2" t="n">
        <v>45998</v>
      </c>
      <c r="C883" s="3" t="s">
        <v>23</v>
      </c>
      <c r="D883" s="3" t="s">
        <v>88</v>
      </c>
      <c r="E883" s="3" t="s">
        <v>29</v>
      </c>
      <c r="F883" s="0" t="n">
        <v>1</v>
      </c>
      <c r="G883" s="0" t="n">
        <v>799</v>
      </c>
      <c r="H883" s="0" t="n">
        <v>0</v>
      </c>
      <c r="I883" s="3" t="s">
        <v>335</v>
      </c>
      <c r="J883" s="0" t="n">
        <v>4</v>
      </c>
      <c r="K883" s="3" t="s">
        <v>34</v>
      </c>
      <c r="L883" s="0" t="str">
        <f aca="false">VLOOKUP(D883,Products!$A$2:$D$13,2,FALSE())</f>
        <v>Accessories</v>
      </c>
      <c r="M883" s="3" t="n">
        <f aca="false">F883*G883*(1-H883/100)</f>
        <v>799</v>
      </c>
      <c r="N883" s="0" t="str">
        <f aca="false">VLOOKUP(I883,Customers!$A$2:$D$121,3,FALSE())</f>
        <v>Bhopal</v>
      </c>
      <c r="O883" s="0" t="str">
        <f aca="false">VLOOKUP(I883,Customers!$A$2:$D$121,4,FALSE())</f>
        <v>Retail</v>
      </c>
      <c r="P883" s="0" t="str">
        <f aca="false">TEXT(B883,"yyyy-mm")</f>
        <v>2025-12</v>
      </c>
    </row>
    <row r="884" customFormat="false" ht="15" hidden="false" customHeight="false" outlineLevel="0" collapsed="false">
      <c r="A884" s="0" t="s">
        <v>1050</v>
      </c>
      <c r="B884" s="2" t="n">
        <v>45874</v>
      </c>
      <c r="C884" s="3" t="s">
        <v>51</v>
      </c>
      <c r="D884" s="3" t="s">
        <v>60</v>
      </c>
      <c r="E884" s="3" t="s">
        <v>52</v>
      </c>
      <c r="F884" s="0" t="n">
        <v>2</v>
      </c>
      <c r="G884" s="0" t="n">
        <v>40</v>
      </c>
      <c r="H884" s="0" t="n">
        <v>0</v>
      </c>
      <c r="I884" s="3" t="s">
        <v>150</v>
      </c>
      <c r="J884" s="0" t="n">
        <v>4</v>
      </c>
      <c r="K884" s="3" t="s">
        <v>26</v>
      </c>
      <c r="L884" s="0" t="str">
        <f aca="false">VLOOKUP(D884,Products!$A$2:$D$13,2,FALSE())</f>
        <v>Stationery</v>
      </c>
      <c r="M884" s="3" t="n">
        <f aca="false">F884*G884*(1-H884/100)</f>
        <v>80</v>
      </c>
      <c r="N884" s="0" t="str">
        <f aca="false">VLOOKUP(I884,Customers!$A$2:$D$121,3,FALSE())</f>
        <v>Indore</v>
      </c>
      <c r="O884" s="0" t="str">
        <f aca="false">VLOOKUP(I884,Customers!$A$2:$D$121,4,FALSE())</f>
        <v>Student</v>
      </c>
      <c r="P884" s="0" t="str">
        <f aca="false">TEXT(B884,"yyyy-mm")</f>
        <v>2025-08</v>
      </c>
    </row>
    <row r="885" customFormat="false" ht="15" hidden="false" customHeight="false" outlineLevel="0" collapsed="false">
      <c r="A885" s="0" t="s">
        <v>1051</v>
      </c>
      <c r="B885" s="2" t="n">
        <v>45961</v>
      </c>
      <c r="C885" s="3" t="s">
        <v>17</v>
      </c>
      <c r="D885" s="3" t="s">
        <v>116</v>
      </c>
      <c r="E885" s="3" t="s">
        <v>19</v>
      </c>
      <c r="F885" s="0" t="n">
        <v>1</v>
      </c>
      <c r="G885" s="0" t="n">
        <v>699</v>
      </c>
      <c r="H885" s="0" t="n">
        <v>0</v>
      </c>
      <c r="I885" s="3" t="s">
        <v>158</v>
      </c>
      <c r="J885" s="0" t="n">
        <v>5</v>
      </c>
      <c r="K885" s="3" t="s">
        <v>43</v>
      </c>
      <c r="L885" s="0" t="str">
        <f aca="false">VLOOKUP(D885,Products!$A$2:$D$13,2,FALSE())</f>
        <v>Home</v>
      </c>
      <c r="M885" s="3" t="n">
        <f aca="false">F885*G885*(1-H885/100)</f>
        <v>699</v>
      </c>
      <c r="N885" s="0" t="str">
        <f aca="false">VLOOKUP(I885,Customers!$A$2:$D$121,3,FALSE())</f>
        <v>Mumbai</v>
      </c>
      <c r="O885" s="0" t="str">
        <f aca="false">VLOOKUP(I885,Customers!$A$2:$D$121,4,FALSE())</f>
        <v>Retail</v>
      </c>
      <c r="P885" s="0" t="str">
        <f aca="false">TEXT(B885,"yyyy-mm")</f>
        <v>2025-10</v>
      </c>
    </row>
    <row r="886" customFormat="false" ht="15" hidden="false" customHeight="false" outlineLevel="0" collapsed="false">
      <c r="A886" s="0" t="s">
        <v>1052</v>
      </c>
      <c r="B886" s="2" t="n">
        <v>45993</v>
      </c>
      <c r="C886" s="3" t="s">
        <v>51</v>
      </c>
      <c r="D886" s="3" t="s">
        <v>57</v>
      </c>
      <c r="E886" s="3" t="s">
        <v>83</v>
      </c>
      <c r="F886" s="0" t="n">
        <v>1</v>
      </c>
      <c r="G886" s="0" t="n">
        <v>549</v>
      </c>
      <c r="H886" s="0" t="n">
        <v>15</v>
      </c>
      <c r="I886" s="3" t="s">
        <v>426</v>
      </c>
      <c r="J886" s="0" t="n">
        <v>2</v>
      </c>
      <c r="K886" s="3" t="s">
        <v>26</v>
      </c>
      <c r="L886" s="0" t="str">
        <f aca="false">VLOOKUP(D886,Products!$A$2:$D$13,2,FALSE())</f>
        <v>Accessories</v>
      </c>
      <c r="M886" s="3" t="n">
        <f aca="false">F886*G886*(1-H886/100)</f>
        <v>466.65</v>
      </c>
      <c r="N886" s="0" t="str">
        <f aca="false">VLOOKUP(I886,Customers!$A$2:$D$121,3,FALSE())</f>
        <v>Bhopal</v>
      </c>
      <c r="O886" s="0" t="str">
        <f aca="false">VLOOKUP(I886,Customers!$A$2:$D$121,4,FALSE())</f>
        <v>Corporate</v>
      </c>
      <c r="P886" s="0" t="str">
        <f aca="false">TEXT(B886,"yyyy-mm")</f>
        <v>2025-12</v>
      </c>
    </row>
    <row r="887" customFormat="false" ht="15" hidden="false" customHeight="false" outlineLevel="0" collapsed="false">
      <c r="A887" s="0" t="s">
        <v>1053</v>
      </c>
      <c r="B887" s="2" t="n">
        <v>45754</v>
      </c>
      <c r="C887" s="3" t="s">
        <v>23</v>
      </c>
      <c r="D887" s="3" t="s">
        <v>45</v>
      </c>
      <c r="E887" s="3" t="s">
        <v>24</v>
      </c>
      <c r="F887" s="0" t="n">
        <v>4</v>
      </c>
      <c r="G887" s="0" t="n">
        <v>30</v>
      </c>
      <c r="H887" s="0" t="n">
        <v>15</v>
      </c>
      <c r="I887" s="3" t="s">
        <v>42</v>
      </c>
      <c r="J887" s="0" t="n">
        <v>4</v>
      </c>
      <c r="K887" s="3" t="s">
        <v>26</v>
      </c>
      <c r="L887" s="0" t="str">
        <f aca="false">VLOOKUP(D887,Products!$A$2:$D$13,2,FALSE())</f>
        <v>Stationery</v>
      </c>
      <c r="M887" s="3" t="n">
        <f aca="false">F887*G887*(1-H887/100)</f>
        <v>102</v>
      </c>
      <c r="N887" s="0" t="str">
        <f aca="false">VLOOKUP(I887,Customers!$A$2:$D$121,3,FALSE())</f>
        <v>Indore</v>
      </c>
      <c r="O887" s="0" t="str">
        <f aca="false">VLOOKUP(I887,Customers!$A$2:$D$121,4,FALSE())</f>
        <v>Retail</v>
      </c>
      <c r="P887" s="0" t="str">
        <f aca="false">TEXT(B887,"yyyy-mm")</f>
        <v>2025-04</v>
      </c>
    </row>
    <row r="888" customFormat="false" ht="15" hidden="false" customHeight="false" outlineLevel="0" collapsed="false">
      <c r="A888" s="0" t="s">
        <v>1054</v>
      </c>
      <c r="B888" s="2" t="n">
        <v>45870</v>
      </c>
      <c r="C888" s="3" t="s">
        <v>72</v>
      </c>
      <c r="D888" s="3" t="s">
        <v>41</v>
      </c>
      <c r="E888" s="3" t="s">
        <v>73</v>
      </c>
      <c r="F888" s="0" t="n">
        <v>1</v>
      </c>
      <c r="G888" s="0" t="n">
        <v>399</v>
      </c>
      <c r="H888" s="0" t="n">
        <v>15</v>
      </c>
      <c r="I888" s="3" t="s">
        <v>67</v>
      </c>
      <c r="J888" s="0" t="n">
        <v>1</v>
      </c>
      <c r="K888" s="3" t="s">
        <v>26</v>
      </c>
      <c r="L888" s="0" t="str">
        <f aca="false">VLOOKUP(D888,Products!$A$2:$D$13,2,FALSE())</f>
        <v>Electronics</v>
      </c>
      <c r="M888" s="3" t="n">
        <f aca="false">F888*G888*(1-H888/100)</f>
        <v>339.15</v>
      </c>
      <c r="N888" s="0" t="str">
        <f aca="false">VLOOKUP(I888,Customers!$A$2:$D$121,3,FALSE())</f>
        <v>Jaipur</v>
      </c>
      <c r="O888" s="0" t="str">
        <f aca="false">VLOOKUP(I888,Customers!$A$2:$D$121,4,FALSE())</f>
        <v>Corporate</v>
      </c>
      <c r="P888" s="0" t="str">
        <f aca="false">TEXT(B888,"yyyy-mm")</f>
        <v>2025-08</v>
      </c>
    </row>
    <row r="889" customFormat="false" ht="15" hidden="false" customHeight="false" outlineLevel="0" collapsed="false">
      <c r="A889" s="0" t="s">
        <v>1055</v>
      </c>
      <c r="B889" s="2" t="n">
        <v>46040</v>
      </c>
      <c r="C889" s="3" t="s">
        <v>51</v>
      </c>
      <c r="D889" s="3" t="s">
        <v>48</v>
      </c>
      <c r="E889" s="3" t="s">
        <v>83</v>
      </c>
      <c r="F889" s="0" t="n">
        <v>1</v>
      </c>
      <c r="G889" s="0" t="n">
        <v>199</v>
      </c>
      <c r="H889" s="0" t="n">
        <v>15</v>
      </c>
      <c r="I889" s="3" t="s">
        <v>118</v>
      </c>
      <c r="J889" s="0" t="n">
        <v>1</v>
      </c>
      <c r="K889" s="3" t="s">
        <v>43</v>
      </c>
      <c r="L889" s="0" t="str">
        <f aca="false">VLOOKUP(D889,Products!$A$2:$D$13,2,FALSE())</f>
        <v>Home</v>
      </c>
      <c r="M889" s="3" t="n">
        <f aca="false">F889*G889*(1-H889/100)</f>
        <v>169.15</v>
      </c>
      <c r="N889" s="0" t="str">
        <f aca="false">VLOOKUP(I889,Customers!$A$2:$D$121,3,FALSE())</f>
        <v>Indore</v>
      </c>
      <c r="O889" s="0" t="str">
        <f aca="false">VLOOKUP(I889,Customers!$A$2:$D$121,4,FALSE())</f>
        <v>Retail</v>
      </c>
      <c r="P889" s="0" t="str">
        <f aca="false">TEXT(B889,"yyyy-mm")</f>
        <v>2026-01</v>
      </c>
    </row>
    <row r="890" customFormat="false" ht="15" hidden="false" customHeight="false" outlineLevel="0" collapsed="false">
      <c r="A890" s="0" t="s">
        <v>1056</v>
      </c>
      <c r="B890" s="2" t="n">
        <v>45842</v>
      </c>
      <c r="C890" s="3" t="s">
        <v>51</v>
      </c>
      <c r="D890" s="3" t="s">
        <v>108</v>
      </c>
      <c r="E890" s="3" t="s">
        <v>52</v>
      </c>
      <c r="F890" s="0" t="n">
        <v>1</v>
      </c>
      <c r="G890" s="0" t="n">
        <v>180</v>
      </c>
      <c r="H890" s="0" t="n">
        <v>0</v>
      </c>
      <c r="I890" s="3" t="s">
        <v>261</v>
      </c>
      <c r="J890" s="0" t="n">
        <v>4</v>
      </c>
      <c r="K890" s="3" t="s">
        <v>21</v>
      </c>
      <c r="L890" s="0" t="str">
        <f aca="false">VLOOKUP(D890,Products!$A$2:$D$13,2,FALSE())</f>
        <v>Stationery</v>
      </c>
      <c r="M890" s="3" t="n">
        <f aca="false">F890*G890*(1-H890/100)</f>
        <v>180</v>
      </c>
      <c r="N890" s="0" t="str">
        <f aca="false">VLOOKUP(I890,Customers!$A$2:$D$121,3,FALSE())</f>
        <v>Mumbai</v>
      </c>
      <c r="O890" s="0" t="str">
        <f aca="false">VLOOKUP(I890,Customers!$A$2:$D$121,4,FALSE())</f>
        <v>Corporate</v>
      </c>
      <c r="P890" s="0" t="str">
        <f aca="false">TEXT(B890,"yyyy-mm")</f>
        <v>2025-07</v>
      </c>
    </row>
    <row r="891" customFormat="false" ht="15" hidden="false" customHeight="false" outlineLevel="0" collapsed="false">
      <c r="A891" s="0" t="s">
        <v>1057</v>
      </c>
      <c r="B891" s="2" t="n">
        <v>46019</v>
      </c>
      <c r="C891" s="3" t="s">
        <v>72</v>
      </c>
      <c r="D891" s="3" t="s">
        <v>88</v>
      </c>
      <c r="E891" s="3" t="s">
        <v>73</v>
      </c>
      <c r="F891" s="0" t="n">
        <v>1</v>
      </c>
      <c r="G891" s="0" t="n">
        <v>799</v>
      </c>
      <c r="H891" s="0" t="n">
        <v>0</v>
      </c>
      <c r="I891" s="3" t="s">
        <v>246</v>
      </c>
      <c r="J891" s="0" t="n">
        <v>4</v>
      </c>
      <c r="K891" s="3" t="s">
        <v>26</v>
      </c>
      <c r="L891" s="0" t="str">
        <f aca="false">VLOOKUP(D891,Products!$A$2:$D$13,2,FALSE())</f>
        <v>Accessories</v>
      </c>
      <c r="M891" s="3" t="n">
        <f aca="false">F891*G891*(1-H891/100)</f>
        <v>799</v>
      </c>
      <c r="N891" s="0" t="str">
        <f aca="false">VLOOKUP(I891,Customers!$A$2:$D$121,3,FALSE())</f>
        <v>Pune</v>
      </c>
      <c r="O891" s="0" t="str">
        <f aca="false">VLOOKUP(I891,Customers!$A$2:$D$121,4,FALSE())</f>
        <v>Student</v>
      </c>
      <c r="P891" s="0" t="str">
        <f aca="false">TEXT(B891,"yyyy-mm")</f>
        <v>2025-12</v>
      </c>
    </row>
    <row r="892" customFormat="false" ht="15" hidden="false" customHeight="false" outlineLevel="0" collapsed="false">
      <c r="A892" s="0" t="s">
        <v>1058</v>
      </c>
      <c r="B892" s="2" t="n">
        <v>46065</v>
      </c>
      <c r="C892" s="3" t="s">
        <v>17</v>
      </c>
      <c r="D892" s="3" t="s">
        <v>18</v>
      </c>
      <c r="E892" s="3" t="s">
        <v>93</v>
      </c>
      <c r="F892" s="0" t="n">
        <v>1</v>
      </c>
      <c r="G892" s="0" t="n">
        <v>349</v>
      </c>
      <c r="H892" s="0" t="n">
        <v>0</v>
      </c>
      <c r="I892" s="3" t="s">
        <v>219</v>
      </c>
      <c r="J892" s="0" t="n">
        <v>5</v>
      </c>
      <c r="K892" s="3" t="s">
        <v>21</v>
      </c>
      <c r="L892" s="0" t="str">
        <f aca="false">VLOOKUP(D892,Products!$A$2:$D$13,2,FALSE())</f>
        <v>Home</v>
      </c>
      <c r="M892" s="3" t="n">
        <f aca="false">F892*G892*(1-H892/100)</f>
        <v>349</v>
      </c>
      <c r="N892" s="0" t="str">
        <f aca="false">VLOOKUP(I892,Customers!$A$2:$D$121,3,FALSE())</f>
        <v>Chennai</v>
      </c>
      <c r="O892" s="0" t="str">
        <f aca="false">VLOOKUP(I892,Customers!$A$2:$D$121,4,FALSE())</f>
        <v>Retail</v>
      </c>
      <c r="P892" s="0" t="str">
        <f aca="false">TEXT(B892,"yyyy-mm")</f>
        <v>2026-02</v>
      </c>
    </row>
    <row r="893" customFormat="false" ht="15" hidden="false" customHeight="false" outlineLevel="0" collapsed="false">
      <c r="A893" s="0" t="s">
        <v>1059</v>
      </c>
      <c r="B893" s="2" t="n">
        <v>45935</v>
      </c>
      <c r="C893" s="3" t="s">
        <v>51</v>
      </c>
      <c r="D893" s="3" t="s">
        <v>45</v>
      </c>
      <c r="E893" s="3" t="s">
        <v>83</v>
      </c>
      <c r="F893" s="0" t="n">
        <v>2</v>
      </c>
      <c r="G893" s="0" t="n">
        <v>30</v>
      </c>
      <c r="H893" s="0" t="n">
        <v>5</v>
      </c>
      <c r="I893" s="3" t="s">
        <v>46</v>
      </c>
      <c r="J893" s="0" t="n">
        <v>1</v>
      </c>
      <c r="K893" s="3" t="s">
        <v>26</v>
      </c>
      <c r="L893" s="0" t="str">
        <f aca="false">VLOOKUP(D893,Products!$A$2:$D$13,2,FALSE())</f>
        <v>Stationery</v>
      </c>
      <c r="M893" s="3" t="n">
        <f aca="false">F893*G893*(1-H893/100)</f>
        <v>57</v>
      </c>
      <c r="N893" s="0" t="str">
        <f aca="false">VLOOKUP(I893,Customers!$A$2:$D$121,3,FALSE())</f>
        <v>Indore</v>
      </c>
      <c r="O893" s="0" t="str">
        <f aca="false">VLOOKUP(I893,Customers!$A$2:$D$121,4,FALSE())</f>
        <v>Student</v>
      </c>
      <c r="P893" s="0" t="str">
        <f aca="false">TEXT(B893,"yyyy-mm")</f>
        <v>2025-10</v>
      </c>
    </row>
    <row r="894" customFormat="false" ht="15" hidden="false" customHeight="false" outlineLevel="0" collapsed="false">
      <c r="A894" s="0" t="s">
        <v>1060</v>
      </c>
      <c r="B894" s="2" t="n">
        <v>46108</v>
      </c>
      <c r="C894" s="3" t="s">
        <v>23</v>
      </c>
      <c r="D894" s="3" t="s">
        <v>18</v>
      </c>
      <c r="E894" s="3" t="s">
        <v>24</v>
      </c>
      <c r="F894" s="0" t="n">
        <v>1</v>
      </c>
      <c r="G894" s="0" t="n">
        <v>349</v>
      </c>
      <c r="H894" s="0" t="n">
        <v>0</v>
      </c>
      <c r="I894" s="3" t="s">
        <v>30</v>
      </c>
      <c r="J894" s="0" t="n">
        <v>4</v>
      </c>
      <c r="K894" s="3" t="s">
        <v>26</v>
      </c>
      <c r="L894" s="0" t="str">
        <f aca="false">VLOOKUP(D894,Products!$A$2:$D$13,2,FALSE())</f>
        <v>Home</v>
      </c>
      <c r="M894" s="3" t="n">
        <f aca="false">F894*G894*(1-H894/100)</f>
        <v>349</v>
      </c>
      <c r="N894" s="0" t="str">
        <f aca="false">VLOOKUP(I894,Customers!$A$2:$D$121,3,FALSE())</f>
        <v>Chennai</v>
      </c>
      <c r="O894" s="0" t="str">
        <f aca="false">VLOOKUP(I894,Customers!$A$2:$D$121,4,FALSE())</f>
        <v>Student</v>
      </c>
      <c r="P894" s="0" t="str">
        <f aca="false">TEXT(B894,"yyyy-mm")</f>
        <v>2026-03</v>
      </c>
    </row>
    <row r="895" customFormat="false" ht="15" hidden="false" customHeight="false" outlineLevel="0" collapsed="false">
      <c r="A895" s="0" t="s">
        <v>1061</v>
      </c>
      <c r="B895" s="2" t="n">
        <v>46024</v>
      </c>
      <c r="C895" s="3" t="s">
        <v>36</v>
      </c>
      <c r="D895" s="3" t="s">
        <v>41</v>
      </c>
      <c r="E895" s="3" t="s">
        <v>38</v>
      </c>
      <c r="F895" s="0" t="n">
        <v>4</v>
      </c>
      <c r="G895" s="0" t="n">
        <v>399</v>
      </c>
      <c r="H895" s="0" t="n">
        <v>0</v>
      </c>
      <c r="I895" s="3" t="s">
        <v>684</v>
      </c>
      <c r="J895" s="0" t="n">
        <v>4</v>
      </c>
      <c r="K895" s="3" t="s">
        <v>26</v>
      </c>
      <c r="L895" s="0" t="str">
        <f aca="false">VLOOKUP(D895,Products!$A$2:$D$13,2,FALSE())</f>
        <v>Electronics</v>
      </c>
      <c r="M895" s="3" t="n">
        <f aca="false">F895*G895*(1-H895/100)</f>
        <v>1596</v>
      </c>
      <c r="N895" s="0" t="str">
        <f aca="false">VLOOKUP(I895,Customers!$A$2:$D$121,3,FALSE())</f>
        <v>Nagpur</v>
      </c>
      <c r="O895" s="0" t="str">
        <f aca="false">VLOOKUP(I895,Customers!$A$2:$D$121,4,FALSE())</f>
        <v>Retail</v>
      </c>
      <c r="P895" s="0" t="str">
        <f aca="false">TEXT(B895,"yyyy-mm")</f>
        <v>2026-01</v>
      </c>
    </row>
    <row r="896" customFormat="false" ht="15" hidden="false" customHeight="false" outlineLevel="0" collapsed="false">
      <c r="A896" s="0" t="s">
        <v>1062</v>
      </c>
      <c r="B896" s="2" t="n">
        <v>45884</v>
      </c>
      <c r="C896" s="3" t="s">
        <v>72</v>
      </c>
      <c r="D896" s="3" t="s">
        <v>41</v>
      </c>
      <c r="E896" s="3" t="s">
        <v>89</v>
      </c>
      <c r="F896" s="0" t="n">
        <v>3</v>
      </c>
      <c r="G896" s="0" t="n">
        <v>399</v>
      </c>
      <c r="H896" s="0" t="n">
        <v>10</v>
      </c>
      <c r="I896" s="3" t="s">
        <v>74</v>
      </c>
      <c r="J896" s="0" t="n">
        <v>4</v>
      </c>
      <c r="K896" s="3" t="s">
        <v>21</v>
      </c>
      <c r="L896" s="0" t="str">
        <f aca="false">VLOOKUP(D896,Products!$A$2:$D$13,2,FALSE())</f>
        <v>Electronics</v>
      </c>
      <c r="M896" s="3" t="n">
        <f aca="false">F896*G896*(1-H896/100)</f>
        <v>1077.3</v>
      </c>
      <c r="N896" s="0" t="str">
        <f aca="false">VLOOKUP(I896,Customers!$A$2:$D$121,3,FALSE())</f>
        <v>Lucknow</v>
      </c>
      <c r="O896" s="0" t="str">
        <f aca="false">VLOOKUP(I896,Customers!$A$2:$D$121,4,FALSE())</f>
        <v>Retail</v>
      </c>
      <c r="P896" s="0" t="str">
        <f aca="false">TEXT(B896,"yyyy-mm")</f>
        <v>2025-08</v>
      </c>
    </row>
    <row r="897" customFormat="false" ht="15" hidden="false" customHeight="false" outlineLevel="0" collapsed="false">
      <c r="A897" s="0" t="s">
        <v>1063</v>
      </c>
      <c r="B897" s="2" t="n">
        <v>45979</v>
      </c>
      <c r="C897" s="3" t="s">
        <v>72</v>
      </c>
      <c r="D897" s="3" t="s">
        <v>41</v>
      </c>
      <c r="E897" s="3" t="s">
        <v>89</v>
      </c>
      <c r="F897" s="0" t="n">
        <v>1</v>
      </c>
      <c r="G897" s="0" t="n">
        <v>399</v>
      </c>
      <c r="H897" s="0" t="n">
        <v>5</v>
      </c>
      <c r="I897" s="3" t="s">
        <v>302</v>
      </c>
      <c r="J897" s="0" t="n">
        <v>4</v>
      </c>
      <c r="K897" s="3" t="s">
        <v>43</v>
      </c>
      <c r="L897" s="0" t="str">
        <f aca="false">VLOOKUP(D897,Products!$A$2:$D$13,2,FALSE())</f>
        <v>Electronics</v>
      </c>
      <c r="M897" s="3" t="n">
        <f aca="false">F897*G897*(1-H897/100)</f>
        <v>379.05</v>
      </c>
      <c r="N897" s="0" t="str">
        <f aca="false">VLOOKUP(I897,Customers!$A$2:$D$121,3,FALSE())</f>
        <v>Nagpur</v>
      </c>
      <c r="O897" s="0" t="str">
        <f aca="false">VLOOKUP(I897,Customers!$A$2:$D$121,4,FALSE())</f>
        <v>Retail</v>
      </c>
      <c r="P897" s="0" t="str">
        <f aca="false">TEXT(B897,"yyyy-mm")</f>
        <v>2025-11</v>
      </c>
    </row>
    <row r="898" customFormat="false" ht="15" hidden="false" customHeight="false" outlineLevel="0" collapsed="false">
      <c r="A898" s="0" t="s">
        <v>1064</v>
      </c>
      <c r="B898" s="2" t="n">
        <v>46095</v>
      </c>
      <c r="C898" s="3" t="s">
        <v>23</v>
      </c>
      <c r="D898" s="3" t="s">
        <v>48</v>
      </c>
      <c r="E898" s="3" t="s">
        <v>29</v>
      </c>
      <c r="F898" s="0" t="n">
        <v>1</v>
      </c>
      <c r="G898" s="0" t="n">
        <v>199</v>
      </c>
      <c r="H898" s="0" t="n">
        <v>10</v>
      </c>
      <c r="I898" s="3" t="s">
        <v>94</v>
      </c>
      <c r="J898" s="0" t="n">
        <v>3</v>
      </c>
      <c r="K898" s="3" t="s">
        <v>21</v>
      </c>
      <c r="L898" s="0" t="str">
        <f aca="false">VLOOKUP(D898,Products!$A$2:$D$13,2,FALSE())</f>
        <v>Home</v>
      </c>
      <c r="M898" s="3" t="n">
        <f aca="false">F898*G898*(1-H898/100)</f>
        <v>179.1</v>
      </c>
      <c r="N898" s="0" t="str">
        <f aca="false">VLOOKUP(I898,Customers!$A$2:$D$121,3,FALSE())</f>
        <v>Chennai</v>
      </c>
      <c r="O898" s="0" t="str">
        <f aca="false">VLOOKUP(I898,Customers!$A$2:$D$121,4,FALSE())</f>
        <v>Corporate</v>
      </c>
      <c r="P898" s="0" t="str">
        <f aca="false">TEXT(B898,"yyyy-mm")</f>
        <v>2026-03</v>
      </c>
    </row>
    <row r="899" customFormat="false" ht="15" hidden="false" customHeight="false" outlineLevel="0" collapsed="false">
      <c r="A899" s="0" t="s">
        <v>1065</v>
      </c>
      <c r="B899" s="2" t="n">
        <v>45792</v>
      </c>
      <c r="C899" s="3" t="s">
        <v>51</v>
      </c>
      <c r="D899" s="3" t="s">
        <v>28</v>
      </c>
      <c r="E899" s="3" t="s">
        <v>83</v>
      </c>
      <c r="F899" s="0" t="n">
        <v>1</v>
      </c>
      <c r="G899" s="0" t="n">
        <v>450</v>
      </c>
      <c r="H899" s="0" t="n">
        <v>0</v>
      </c>
      <c r="I899" s="3" t="s">
        <v>120</v>
      </c>
      <c r="J899" s="0" t="n">
        <v>5</v>
      </c>
      <c r="K899" s="3" t="s">
        <v>21</v>
      </c>
      <c r="L899" s="0" t="str">
        <f aca="false">VLOOKUP(D899,Products!$A$2:$D$13,2,FALSE())</f>
        <v>Electronics</v>
      </c>
      <c r="M899" s="3" t="n">
        <f aca="false">F899*G899*(1-H899/100)</f>
        <v>450</v>
      </c>
      <c r="N899" s="0" t="str">
        <f aca="false">VLOOKUP(I899,Customers!$A$2:$D$121,3,FALSE())</f>
        <v>Bhopal</v>
      </c>
      <c r="O899" s="0" t="str">
        <f aca="false">VLOOKUP(I899,Customers!$A$2:$D$121,4,FALSE())</f>
        <v>Retail</v>
      </c>
      <c r="P899" s="0" t="str">
        <f aca="false">TEXT(B899,"yyyy-mm")</f>
        <v>2025-05</v>
      </c>
    </row>
    <row r="900" customFormat="false" ht="15" hidden="false" customHeight="false" outlineLevel="0" collapsed="false">
      <c r="A900" s="0" t="s">
        <v>1066</v>
      </c>
      <c r="B900" s="2" t="n">
        <v>45889</v>
      </c>
      <c r="C900" s="3" t="s">
        <v>36</v>
      </c>
      <c r="D900" s="3" t="s">
        <v>45</v>
      </c>
      <c r="E900" s="3" t="s">
        <v>38</v>
      </c>
      <c r="F900" s="0" t="n">
        <v>2</v>
      </c>
      <c r="G900" s="0" t="n">
        <v>30</v>
      </c>
      <c r="H900" s="0" t="n">
        <v>0</v>
      </c>
      <c r="I900" s="3" t="s">
        <v>55</v>
      </c>
      <c r="J900" s="3" t="s">
        <v>416</v>
      </c>
      <c r="K900" s="3" t="s">
        <v>26</v>
      </c>
      <c r="L900" s="0" t="str">
        <f aca="false">VLOOKUP(D900,Products!$A$2:$D$13,2,FALSE())</f>
        <v>Stationery</v>
      </c>
      <c r="M900" s="3" t="n">
        <f aca="false">F900*G900*(1-H900/100)</f>
        <v>60</v>
      </c>
      <c r="N900" s="0" t="str">
        <f aca="false">VLOOKUP(I900,Customers!$A$2:$D$121,3,FALSE())</f>
        <v>Jaipur</v>
      </c>
      <c r="O900" s="0" t="str">
        <f aca="false">VLOOKUP(I900,Customers!$A$2:$D$121,4,FALSE())</f>
        <v>Corporate</v>
      </c>
      <c r="P900" s="0" t="str">
        <f aca="false">TEXT(B900,"yyyy-mm")</f>
        <v>2025-08</v>
      </c>
    </row>
    <row r="901" customFormat="false" ht="15" hidden="false" customHeight="false" outlineLevel="0" collapsed="false">
      <c r="A901" s="0" t="s">
        <v>1067</v>
      </c>
      <c r="B901" s="2" t="n">
        <v>45898</v>
      </c>
      <c r="C901" s="3" t="s">
        <v>17</v>
      </c>
      <c r="D901" s="3" t="s">
        <v>57</v>
      </c>
      <c r="E901" s="3" t="s">
        <v>19</v>
      </c>
      <c r="F901" s="0" t="n">
        <v>1</v>
      </c>
      <c r="G901" s="0" t="n">
        <v>549</v>
      </c>
      <c r="H901" s="0" t="n">
        <v>5</v>
      </c>
      <c r="I901" s="3" t="s">
        <v>74</v>
      </c>
      <c r="J901" s="0" t="n">
        <v>4</v>
      </c>
      <c r="K901" s="3" t="s">
        <v>43</v>
      </c>
      <c r="L901" s="0" t="str">
        <f aca="false">VLOOKUP(D901,Products!$A$2:$D$13,2,FALSE())</f>
        <v>Accessories</v>
      </c>
      <c r="M901" s="3" t="n">
        <f aca="false">F901*G901*(1-H901/100)</f>
        <v>521.55</v>
      </c>
      <c r="N901" s="0" t="str">
        <f aca="false">VLOOKUP(I901,Customers!$A$2:$D$121,3,FALSE())</f>
        <v>Lucknow</v>
      </c>
      <c r="O901" s="0" t="str">
        <f aca="false">VLOOKUP(I901,Customers!$A$2:$D$121,4,FALSE())</f>
        <v>Retail</v>
      </c>
      <c r="P901" s="0" t="str">
        <f aca="false">TEXT(B901,"yyyy-mm")</f>
        <v>2025-08</v>
      </c>
    </row>
    <row r="902" customFormat="false" ht="15" hidden="false" customHeight="false" outlineLevel="0" collapsed="false">
      <c r="A902" s="0" t="s">
        <v>1068</v>
      </c>
      <c r="B902" s="2" t="n">
        <v>45975</v>
      </c>
      <c r="C902" s="3" t="s">
        <v>51</v>
      </c>
      <c r="D902" s="3" t="s">
        <v>41</v>
      </c>
      <c r="E902" s="3" t="s">
        <v>52</v>
      </c>
      <c r="F902" s="0" t="n">
        <v>2</v>
      </c>
      <c r="G902" s="0" t="n">
        <v>399</v>
      </c>
      <c r="H902" s="0" t="n">
        <v>15</v>
      </c>
      <c r="I902" s="3" t="s">
        <v>227</v>
      </c>
      <c r="J902" s="0" t="n">
        <v>1</v>
      </c>
      <c r="K902" s="3" t="s">
        <v>21</v>
      </c>
      <c r="L902" s="0" t="str">
        <f aca="false">VLOOKUP(D902,Products!$A$2:$D$13,2,FALSE())</f>
        <v>Electronics</v>
      </c>
      <c r="M902" s="3" t="n">
        <f aca="false">F902*G902*(1-H902/100)</f>
        <v>678.3</v>
      </c>
      <c r="N902" s="0" t="str">
        <f aca="false">VLOOKUP(I902,Customers!$A$2:$D$121,3,FALSE())</f>
        <v>Kolkata</v>
      </c>
      <c r="O902" s="0" t="str">
        <f aca="false">VLOOKUP(I902,Customers!$A$2:$D$121,4,FALSE())</f>
        <v>Corporate</v>
      </c>
      <c r="P902" s="0" t="str">
        <f aca="false">TEXT(B902,"yyyy-mm")</f>
        <v>2025-11</v>
      </c>
    </row>
    <row r="903" customFormat="false" ht="15" hidden="false" customHeight="false" outlineLevel="0" collapsed="false">
      <c r="A903" s="0" t="s">
        <v>1069</v>
      </c>
      <c r="B903" s="2" t="n">
        <v>46014</v>
      </c>
      <c r="C903" s="3" t="s">
        <v>36</v>
      </c>
      <c r="D903" s="3" t="s">
        <v>60</v>
      </c>
      <c r="E903" s="3" t="s">
        <v>69</v>
      </c>
      <c r="F903" s="0" t="n">
        <v>1</v>
      </c>
      <c r="G903" s="0" t="n">
        <v>40</v>
      </c>
      <c r="H903" s="0" t="n">
        <v>15</v>
      </c>
      <c r="I903" s="3" t="s">
        <v>256</v>
      </c>
      <c r="J903" s="0" t="n">
        <v>4</v>
      </c>
      <c r="K903" s="3" t="s">
        <v>34</v>
      </c>
      <c r="L903" s="0" t="str">
        <f aca="false">VLOOKUP(D903,Products!$A$2:$D$13,2,FALSE())</f>
        <v>Stationery</v>
      </c>
      <c r="M903" s="3" t="n">
        <f aca="false">F903*G903*(1-H903/100)</f>
        <v>34</v>
      </c>
      <c r="N903" s="0" t="str">
        <f aca="false">VLOOKUP(I903,Customers!$A$2:$D$121,3,FALSE())</f>
        <v>Lucknow</v>
      </c>
      <c r="O903" s="0" t="str">
        <f aca="false">VLOOKUP(I903,Customers!$A$2:$D$121,4,FALSE())</f>
        <v>Corporate</v>
      </c>
      <c r="P903" s="0" t="str">
        <f aca="false">TEXT(B903,"yyyy-mm")</f>
        <v>2025-12</v>
      </c>
    </row>
    <row r="904" customFormat="false" ht="15" hidden="false" customHeight="false" outlineLevel="0" collapsed="false">
      <c r="A904" s="0" t="s">
        <v>1070</v>
      </c>
      <c r="B904" s="2" t="n">
        <v>46088</v>
      </c>
      <c r="C904" s="3" t="s">
        <v>23</v>
      </c>
      <c r="D904" s="3" t="s">
        <v>32</v>
      </c>
      <c r="E904" s="3" t="s">
        <v>29</v>
      </c>
      <c r="F904" s="0" t="n">
        <v>2</v>
      </c>
      <c r="G904" s="0" t="n">
        <v>249</v>
      </c>
      <c r="H904" s="0" t="n">
        <v>15</v>
      </c>
      <c r="I904" s="3" t="s">
        <v>165</v>
      </c>
      <c r="J904" s="0" t="n">
        <v>5</v>
      </c>
      <c r="K904" s="3" t="s">
        <v>43</v>
      </c>
      <c r="L904" s="0" t="str">
        <f aca="false">VLOOKUP(D904,Products!$A$2:$D$13,2,FALSE())</f>
        <v>Accessories</v>
      </c>
      <c r="M904" s="3" t="n">
        <f aca="false">F904*G904*(1-H904/100)</f>
        <v>423.3</v>
      </c>
      <c r="N904" s="0" t="str">
        <f aca="false">VLOOKUP(I904,Customers!$A$2:$D$121,3,FALSE())</f>
        <v>Mumbai</v>
      </c>
      <c r="O904" s="0" t="str">
        <f aca="false">VLOOKUP(I904,Customers!$A$2:$D$121,4,FALSE())</f>
        <v>Retail</v>
      </c>
      <c r="P904" s="0" t="str">
        <f aca="false">TEXT(B904,"yyyy-mm")</f>
        <v>2026-03</v>
      </c>
    </row>
    <row r="905" customFormat="false" ht="15" hidden="false" customHeight="false" outlineLevel="0" collapsed="false">
      <c r="A905" s="0" t="s">
        <v>1071</v>
      </c>
      <c r="B905" s="2" t="n">
        <v>45815</v>
      </c>
      <c r="C905" s="3" t="s">
        <v>23</v>
      </c>
      <c r="D905" s="3" t="s">
        <v>37</v>
      </c>
      <c r="E905" s="3" t="s">
        <v>24</v>
      </c>
      <c r="F905" s="0" t="n">
        <v>1</v>
      </c>
      <c r="G905" s="0" t="n">
        <v>500</v>
      </c>
      <c r="H905" s="0" t="n">
        <v>0</v>
      </c>
      <c r="I905" s="3" t="s">
        <v>695</v>
      </c>
      <c r="J905" s="0" t="n">
        <v>5</v>
      </c>
      <c r="K905" s="3" t="s">
        <v>43</v>
      </c>
      <c r="L905" s="0" t="str">
        <f aca="false">VLOOKUP(D905,Products!$A$2:$D$13,2,FALSE())</f>
        <v>Electronics</v>
      </c>
      <c r="M905" s="3" t="n">
        <f aca="false">F905*G905*(1-H905/100)</f>
        <v>500</v>
      </c>
      <c r="N905" s="0" t="str">
        <f aca="false">VLOOKUP(I905,Customers!$A$2:$D$121,3,FALSE())</f>
        <v>Pune</v>
      </c>
      <c r="O905" s="0" t="str">
        <f aca="false">VLOOKUP(I905,Customers!$A$2:$D$121,4,FALSE())</f>
        <v>Corporate</v>
      </c>
      <c r="P905" s="0" t="str">
        <f aca="false">TEXT(B905,"yyyy-mm")</f>
        <v>2025-06</v>
      </c>
    </row>
    <row r="906" customFormat="false" ht="15" hidden="false" customHeight="false" outlineLevel="0" collapsed="false">
      <c r="A906" s="0" t="s">
        <v>1072</v>
      </c>
      <c r="B906" s="2" t="n">
        <v>45772</v>
      </c>
      <c r="C906" s="3" t="s">
        <v>72</v>
      </c>
      <c r="D906" s="3" t="s">
        <v>41</v>
      </c>
      <c r="E906" s="3" t="s">
        <v>89</v>
      </c>
      <c r="F906" s="0" t="n">
        <v>1</v>
      </c>
      <c r="G906" s="0" t="n">
        <v>399</v>
      </c>
      <c r="H906" s="0" t="n">
        <v>0</v>
      </c>
      <c r="I906" s="3" t="s">
        <v>135</v>
      </c>
      <c r="J906" s="0" t="n">
        <v>3</v>
      </c>
      <c r="K906" s="3" t="s">
        <v>26</v>
      </c>
      <c r="L906" s="0" t="str">
        <f aca="false">VLOOKUP(D906,Products!$A$2:$D$13,2,FALSE())</f>
        <v>Electronics</v>
      </c>
      <c r="M906" s="3" t="n">
        <f aca="false">F906*G906*(1-H906/100)</f>
        <v>399</v>
      </c>
      <c r="N906" s="0" t="str">
        <f aca="false">VLOOKUP(I906,Customers!$A$2:$D$121,3,FALSE())</f>
        <v>Jaipur</v>
      </c>
      <c r="O906" s="0" t="str">
        <f aca="false">VLOOKUP(I906,Customers!$A$2:$D$121,4,FALSE())</f>
        <v>Corporate</v>
      </c>
      <c r="P906" s="0" t="str">
        <f aca="false">TEXT(B906,"yyyy-mm")</f>
        <v>2025-04</v>
      </c>
    </row>
    <row r="907" customFormat="false" ht="15" hidden="false" customHeight="false" outlineLevel="0" collapsed="false">
      <c r="A907" s="0" t="s">
        <v>1073</v>
      </c>
      <c r="B907" s="2" t="n">
        <v>45894</v>
      </c>
      <c r="C907" s="3" t="s">
        <v>23</v>
      </c>
      <c r="D907" s="3" t="s">
        <v>48</v>
      </c>
      <c r="E907" s="3" t="s">
        <v>24</v>
      </c>
      <c r="F907" s="0" t="n">
        <v>5</v>
      </c>
      <c r="G907" s="0" t="n">
        <v>199</v>
      </c>
      <c r="H907" s="0" t="n">
        <v>0</v>
      </c>
      <c r="I907" s="3" t="s">
        <v>221</v>
      </c>
      <c r="J907" s="0" t="n">
        <v>5</v>
      </c>
      <c r="K907" s="3" t="s">
        <v>26</v>
      </c>
      <c r="L907" s="0" t="str">
        <f aca="false">VLOOKUP(D907,Products!$A$2:$D$13,2,FALSE())</f>
        <v>Home</v>
      </c>
      <c r="M907" s="3" t="n">
        <f aca="false">F907*G907*(1-H907/100)</f>
        <v>995</v>
      </c>
      <c r="N907" s="0" t="str">
        <f aca="false">VLOOKUP(I907,Customers!$A$2:$D$121,3,FALSE())</f>
        <v>Mumbai</v>
      </c>
      <c r="O907" s="0" t="str">
        <f aca="false">VLOOKUP(I907,Customers!$A$2:$D$121,4,FALSE())</f>
        <v>Retail</v>
      </c>
      <c r="P907" s="0" t="str">
        <f aca="false">TEXT(B907,"yyyy-mm")</f>
        <v>2025-08</v>
      </c>
    </row>
    <row r="908" customFormat="false" ht="15" hidden="false" customHeight="false" outlineLevel="0" collapsed="false">
      <c r="A908" s="0" t="s">
        <v>1074</v>
      </c>
      <c r="B908" s="2" t="n">
        <v>45769</v>
      </c>
      <c r="C908" s="3" t="s">
        <v>17</v>
      </c>
      <c r="D908" s="3" t="s">
        <v>28</v>
      </c>
      <c r="E908" s="3" t="s">
        <v>93</v>
      </c>
      <c r="F908" s="0" t="n">
        <v>3</v>
      </c>
      <c r="G908" s="0" t="n">
        <v>450</v>
      </c>
      <c r="H908" s="0" t="n">
        <v>0</v>
      </c>
      <c r="I908" s="3" t="s">
        <v>254</v>
      </c>
      <c r="J908" s="0" t="n">
        <v>2</v>
      </c>
      <c r="K908" s="3" t="s">
        <v>34</v>
      </c>
      <c r="L908" s="0" t="str">
        <f aca="false">VLOOKUP(D908,Products!$A$2:$D$13,2,FALSE())</f>
        <v>Electronics</v>
      </c>
      <c r="M908" s="3" t="n">
        <f aca="false">F908*G908*(1-H908/100)</f>
        <v>1350</v>
      </c>
      <c r="N908" s="0" t="str">
        <f aca="false">VLOOKUP(I908,Customers!$A$2:$D$121,3,FALSE())</f>
        <v>Pune</v>
      </c>
      <c r="O908" s="0" t="str">
        <f aca="false">VLOOKUP(I908,Customers!$A$2:$D$121,4,FALSE())</f>
        <v>Student</v>
      </c>
      <c r="P908" s="0" t="str">
        <f aca="false">TEXT(B908,"yyyy-mm")</f>
        <v>2025-04</v>
      </c>
    </row>
    <row r="909" customFormat="false" ht="15" hidden="false" customHeight="false" outlineLevel="0" collapsed="false">
      <c r="A909" s="0" t="s">
        <v>1075</v>
      </c>
      <c r="B909" s="2" t="n">
        <v>46035</v>
      </c>
      <c r="C909" s="3" t="s">
        <v>36</v>
      </c>
      <c r="D909" s="3" t="s">
        <v>108</v>
      </c>
      <c r="E909" s="3" t="s">
        <v>69</v>
      </c>
      <c r="F909" s="0" t="n">
        <v>1</v>
      </c>
      <c r="G909" s="0" t="n">
        <v>180</v>
      </c>
      <c r="H909" s="0" t="n">
        <v>15</v>
      </c>
      <c r="I909" s="3" t="s">
        <v>145</v>
      </c>
      <c r="J909" s="0" t="n">
        <v>4</v>
      </c>
      <c r="K909" s="3" t="s">
        <v>26</v>
      </c>
      <c r="L909" s="0" t="str">
        <f aca="false">VLOOKUP(D909,Products!$A$2:$D$13,2,FALSE())</f>
        <v>Stationery</v>
      </c>
      <c r="M909" s="3" t="n">
        <f aca="false">F909*G909*(1-H909/100)</f>
        <v>153</v>
      </c>
      <c r="N909" s="0" t="str">
        <f aca="false">VLOOKUP(I909,Customers!$A$2:$D$121,3,FALSE())</f>
        <v>Bhopal</v>
      </c>
      <c r="O909" s="0" t="str">
        <f aca="false">VLOOKUP(I909,Customers!$A$2:$D$121,4,FALSE())</f>
        <v>Student</v>
      </c>
      <c r="P909" s="0" t="str">
        <f aca="false">TEXT(B909,"yyyy-mm")</f>
        <v>2026-01</v>
      </c>
    </row>
    <row r="910" customFormat="false" ht="15" hidden="false" customHeight="false" outlineLevel="0" collapsed="false">
      <c r="A910" s="0" t="s">
        <v>1076</v>
      </c>
      <c r="B910" s="2" t="n">
        <v>46024</v>
      </c>
      <c r="C910" s="3" t="s">
        <v>51</v>
      </c>
      <c r="D910" s="3" t="s">
        <v>41</v>
      </c>
      <c r="E910" s="3" t="s">
        <v>52</v>
      </c>
      <c r="F910" s="0" t="n">
        <v>4</v>
      </c>
      <c r="G910" s="0" t="n">
        <v>399</v>
      </c>
      <c r="H910" s="0" t="n">
        <v>0</v>
      </c>
      <c r="I910" s="3" t="s">
        <v>286</v>
      </c>
      <c r="J910" s="0" t="n">
        <v>3</v>
      </c>
      <c r="K910" s="3" t="s">
        <v>43</v>
      </c>
      <c r="L910" s="0" t="str">
        <f aca="false">VLOOKUP(D910,Products!$A$2:$D$13,2,FALSE())</f>
        <v>Electronics</v>
      </c>
      <c r="M910" s="3" t="n">
        <f aca="false">F910*G910*(1-H910/100)</f>
        <v>1596</v>
      </c>
      <c r="N910" s="0" t="str">
        <f aca="false">VLOOKUP(I910,Customers!$A$2:$D$121,3,FALSE())</f>
        <v>Pune</v>
      </c>
      <c r="O910" s="0" t="str">
        <f aca="false">VLOOKUP(I910,Customers!$A$2:$D$121,4,FALSE())</f>
        <v>Corporate</v>
      </c>
      <c r="P910" s="0" t="str">
        <f aca="false">TEXT(B910,"yyyy-mm")</f>
        <v>2026-01</v>
      </c>
    </row>
    <row r="911" customFormat="false" ht="15" hidden="false" customHeight="false" outlineLevel="0" collapsed="false">
      <c r="A911" s="0" t="s">
        <v>1077</v>
      </c>
      <c r="B911" s="2" t="n">
        <v>45982</v>
      </c>
      <c r="C911" s="3" t="s">
        <v>36</v>
      </c>
      <c r="D911" s="3" t="s">
        <v>32</v>
      </c>
      <c r="E911" s="3" t="s">
        <v>69</v>
      </c>
      <c r="F911" s="0" t="n">
        <v>2</v>
      </c>
      <c r="G911" s="0" t="n">
        <v>249</v>
      </c>
      <c r="H911" s="0" t="n">
        <v>0</v>
      </c>
      <c r="I911" s="3" t="s">
        <v>485</v>
      </c>
      <c r="J911" s="0" t="n">
        <v>1</v>
      </c>
      <c r="K911" s="3" t="s">
        <v>34</v>
      </c>
      <c r="L911" s="0" t="str">
        <f aca="false">VLOOKUP(D911,Products!$A$2:$D$13,2,FALSE())</f>
        <v>Accessories</v>
      </c>
      <c r="M911" s="3" t="n">
        <f aca="false">F911*G911*(1-H911/100)</f>
        <v>498</v>
      </c>
      <c r="N911" s="0" t="str">
        <f aca="false">VLOOKUP(I911,Customers!$A$2:$D$121,3,FALSE())</f>
        <v>Indore</v>
      </c>
      <c r="O911" s="0" t="str">
        <f aca="false">VLOOKUP(I911,Customers!$A$2:$D$121,4,FALSE())</f>
        <v>Retail</v>
      </c>
      <c r="P911" s="0" t="str">
        <f aca="false">TEXT(B911,"yyyy-mm")</f>
        <v>2025-11</v>
      </c>
    </row>
    <row r="912" customFormat="false" ht="15" hidden="false" customHeight="false" outlineLevel="0" collapsed="false">
      <c r="A912" s="0" t="s">
        <v>1078</v>
      </c>
      <c r="B912" s="2" t="n">
        <v>46041</v>
      </c>
      <c r="C912" s="3" t="s">
        <v>72</v>
      </c>
      <c r="D912" s="3" t="s">
        <v>32</v>
      </c>
      <c r="E912" s="3" t="s">
        <v>73</v>
      </c>
      <c r="F912" s="0" t="n">
        <v>4</v>
      </c>
      <c r="G912" s="0" t="n">
        <v>249</v>
      </c>
      <c r="H912" s="0" t="n">
        <v>15</v>
      </c>
      <c r="I912" s="3" t="s">
        <v>258</v>
      </c>
      <c r="J912" s="0" t="n">
        <v>5</v>
      </c>
      <c r="K912" s="3" t="s">
        <v>34</v>
      </c>
      <c r="L912" s="0" t="str">
        <f aca="false">VLOOKUP(D912,Products!$A$2:$D$13,2,FALSE())</f>
        <v>Accessories</v>
      </c>
      <c r="M912" s="3" t="n">
        <f aca="false">F912*G912*(1-H912/100)</f>
        <v>846.6</v>
      </c>
      <c r="N912" s="0" t="str">
        <f aca="false">VLOOKUP(I912,Customers!$A$2:$D$121,3,FALSE())</f>
        <v>Kolkata</v>
      </c>
      <c r="O912" s="0" t="str">
        <f aca="false">VLOOKUP(I912,Customers!$A$2:$D$121,4,FALSE())</f>
        <v>Student</v>
      </c>
      <c r="P912" s="0" t="str">
        <f aca="false">TEXT(B912,"yyyy-mm")</f>
        <v>2026-01</v>
      </c>
    </row>
    <row r="913" customFormat="false" ht="15" hidden="false" customHeight="false" outlineLevel="0" collapsed="false">
      <c r="A913" s="0" t="s">
        <v>1079</v>
      </c>
      <c r="B913" s="2" t="n">
        <v>45993</v>
      </c>
      <c r="C913" s="3" t="s">
        <v>17</v>
      </c>
      <c r="D913" s="3" t="s">
        <v>48</v>
      </c>
      <c r="E913" s="3" t="s">
        <v>19</v>
      </c>
      <c r="F913" s="0" t="n">
        <v>3</v>
      </c>
      <c r="G913" s="0" t="n">
        <v>199</v>
      </c>
      <c r="H913" s="0" t="n">
        <v>0</v>
      </c>
      <c r="I913" s="3" t="s">
        <v>291</v>
      </c>
      <c r="J913" s="0" t="n">
        <v>4</v>
      </c>
      <c r="K913" s="3" t="s">
        <v>34</v>
      </c>
      <c r="L913" s="0" t="str">
        <f aca="false">VLOOKUP(D913,Products!$A$2:$D$13,2,FALSE())</f>
        <v>Home</v>
      </c>
      <c r="M913" s="3" t="n">
        <f aca="false">F913*G913*(1-H913/100)</f>
        <v>597</v>
      </c>
      <c r="N913" s="0" t="str">
        <f aca="false">VLOOKUP(I913,Customers!$A$2:$D$121,3,FALSE())</f>
        <v>Pune</v>
      </c>
      <c r="O913" s="0" t="str">
        <f aca="false">VLOOKUP(I913,Customers!$A$2:$D$121,4,FALSE())</f>
        <v>Retail</v>
      </c>
      <c r="P913" s="0" t="str">
        <f aca="false">TEXT(B913,"yyyy-mm")</f>
        <v>2025-12</v>
      </c>
    </row>
    <row r="914" customFormat="false" ht="15" hidden="false" customHeight="false" outlineLevel="0" collapsed="false">
      <c r="A914" s="0" t="s">
        <v>1080</v>
      </c>
      <c r="B914" s="2" t="n">
        <v>46064</v>
      </c>
      <c r="C914" s="3" t="s">
        <v>51</v>
      </c>
      <c r="D914" s="3" t="s">
        <v>60</v>
      </c>
      <c r="E914" s="3" t="s">
        <v>83</v>
      </c>
      <c r="F914" s="0" t="n">
        <v>1</v>
      </c>
      <c r="G914" s="0" t="n">
        <v>40</v>
      </c>
      <c r="H914" s="0" t="n">
        <v>0</v>
      </c>
      <c r="I914" s="3" t="s">
        <v>90</v>
      </c>
      <c r="J914" s="3" t="s">
        <v>416</v>
      </c>
      <c r="K914" s="3" t="s">
        <v>21</v>
      </c>
      <c r="L914" s="0" t="str">
        <f aca="false">VLOOKUP(D914,Products!$A$2:$D$13,2,FALSE())</f>
        <v>Stationery</v>
      </c>
      <c r="M914" s="3" t="n">
        <f aca="false">F914*G914*(1-H914/100)</f>
        <v>40</v>
      </c>
      <c r="N914" s="0" t="str">
        <f aca="false">VLOOKUP(I914,Customers!$A$2:$D$121,3,FALSE())</f>
        <v>Jaipur</v>
      </c>
      <c r="O914" s="0" t="str">
        <f aca="false">VLOOKUP(I914,Customers!$A$2:$D$121,4,FALSE())</f>
        <v>Corporate</v>
      </c>
      <c r="P914" s="0" t="str">
        <f aca="false">TEXT(B914,"yyyy-mm")</f>
        <v>2026-02</v>
      </c>
    </row>
    <row r="915" customFormat="false" ht="15" hidden="false" customHeight="false" outlineLevel="0" collapsed="false">
      <c r="A915" s="0" t="s">
        <v>1081</v>
      </c>
      <c r="B915" s="2" t="n">
        <v>46046</v>
      </c>
      <c r="C915" s="3" t="s">
        <v>36</v>
      </c>
      <c r="D915" s="3" t="s">
        <v>116</v>
      </c>
      <c r="E915" s="3" t="s">
        <v>69</v>
      </c>
      <c r="F915" s="0" t="n">
        <v>1</v>
      </c>
      <c r="G915" s="0" t="n">
        <v>699</v>
      </c>
      <c r="H915" s="0" t="n">
        <v>10</v>
      </c>
      <c r="I915" s="3" t="s">
        <v>203</v>
      </c>
      <c r="J915" s="0" t="n">
        <v>5</v>
      </c>
      <c r="K915" s="3" t="s">
        <v>26</v>
      </c>
      <c r="L915" s="0" t="str">
        <f aca="false">VLOOKUP(D915,Products!$A$2:$D$13,2,FALSE())</f>
        <v>Home</v>
      </c>
      <c r="M915" s="3" t="n">
        <f aca="false">F915*G915*(1-H915/100)</f>
        <v>629.1</v>
      </c>
      <c r="N915" s="0" t="str">
        <f aca="false">VLOOKUP(I915,Customers!$A$2:$D$121,3,FALSE())</f>
        <v>Jaipur</v>
      </c>
      <c r="O915" s="0" t="str">
        <f aca="false">VLOOKUP(I915,Customers!$A$2:$D$121,4,FALSE())</f>
        <v>Corporate</v>
      </c>
      <c r="P915" s="0" t="str">
        <f aca="false">TEXT(B915,"yyyy-mm")</f>
        <v>2026-01</v>
      </c>
    </row>
    <row r="916" customFormat="false" ht="15" hidden="false" customHeight="false" outlineLevel="0" collapsed="false">
      <c r="A916" s="0" t="s">
        <v>1082</v>
      </c>
      <c r="B916" s="2" t="n">
        <v>46023</v>
      </c>
      <c r="C916" s="3" t="s">
        <v>17</v>
      </c>
      <c r="D916" s="3" t="s">
        <v>60</v>
      </c>
      <c r="E916" s="3" t="s">
        <v>19</v>
      </c>
      <c r="F916" s="0" t="n">
        <v>1</v>
      </c>
      <c r="G916" s="0" t="n">
        <v>40</v>
      </c>
      <c r="H916" s="0" t="n">
        <v>5</v>
      </c>
      <c r="I916" s="3" t="s">
        <v>152</v>
      </c>
      <c r="J916" s="0" t="n">
        <v>4</v>
      </c>
      <c r="K916" s="3" t="s">
        <v>43</v>
      </c>
      <c r="L916" s="0" t="str">
        <f aca="false">VLOOKUP(D916,Products!$A$2:$D$13,2,FALSE())</f>
        <v>Stationery</v>
      </c>
      <c r="M916" s="3" t="n">
        <f aca="false">F916*G916*(1-H916/100)</f>
        <v>38</v>
      </c>
      <c r="N916" s="0" t="str">
        <f aca="false">VLOOKUP(I916,Customers!$A$2:$D$121,3,FALSE())</f>
        <v>Bhopal</v>
      </c>
      <c r="O916" s="0" t="str">
        <f aca="false">VLOOKUP(I916,Customers!$A$2:$D$121,4,FALSE())</f>
        <v>Corporate</v>
      </c>
      <c r="P916" s="0" t="str">
        <f aca="false">TEXT(B916,"yyyy-mm")</f>
        <v>2026-01</v>
      </c>
    </row>
    <row r="917" customFormat="false" ht="15" hidden="false" customHeight="false" outlineLevel="0" collapsed="false">
      <c r="A917" s="0" t="s">
        <v>1083</v>
      </c>
      <c r="B917" s="2" t="n">
        <v>45910</v>
      </c>
      <c r="C917" s="3" t="s">
        <v>51</v>
      </c>
      <c r="D917" s="3" t="s">
        <v>28</v>
      </c>
      <c r="E917" s="3" t="s">
        <v>52</v>
      </c>
      <c r="F917" s="0" t="n">
        <v>2</v>
      </c>
      <c r="G917" s="0" t="n">
        <v>450</v>
      </c>
      <c r="H917" s="0" t="n">
        <v>10</v>
      </c>
      <c r="I917" s="3" t="s">
        <v>185</v>
      </c>
      <c r="J917" s="0" t="n">
        <v>4</v>
      </c>
      <c r="K917" s="3" t="s">
        <v>34</v>
      </c>
      <c r="L917" s="0" t="str">
        <f aca="false">VLOOKUP(D917,Products!$A$2:$D$13,2,FALSE())</f>
        <v>Electronics</v>
      </c>
      <c r="M917" s="3" t="n">
        <f aca="false">F917*G917*(1-H917/100)</f>
        <v>810</v>
      </c>
      <c r="N917" s="0" t="str">
        <f aca="false">VLOOKUP(I917,Customers!$A$2:$D$121,3,FALSE())</f>
        <v>Indore</v>
      </c>
      <c r="O917" s="0" t="str">
        <f aca="false">VLOOKUP(I917,Customers!$A$2:$D$121,4,FALSE())</f>
        <v>Corporate</v>
      </c>
      <c r="P917" s="0" t="str">
        <f aca="false">TEXT(B917,"yyyy-mm")</f>
        <v>2025-09</v>
      </c>
    </row>
    <row r="918" customFormat="false" ht="15" hidden="false" customHeight="false" outlineLevel="0" collapsed="false">
      <c r="A918" s="0" t="s">
        <v>1084</v>
      </c>
      <c r="B918" s="2" t="n">
        <v>45966</v>
      </c>
      <c r="C918" s="3" t="s">
        <v>36</v>
      </c>
      <c r="D918" s="3" t="s">
        <v>88</v>
      </c>
      <c r="E918" s="3" t="s">
        <v>69</v>
      </c>
      <c r="F918" s="0" t="n">
        <v>2</v>
      </c>
      <c r="G918" s="0" t="n">
        <v>799</v>
      </c>
      <c r="H918" s="0" t="n">
        <v>0</v>
      </c>
      <c r="I918" s="3" t="s">
        <v>536</v>
      </c>
      <c r="J918" s="0" t="n">
        <v>4</v>
      </c>
      <c r="K918" s="3" t="s">
        <v>34</v>
      </c>
      <c r="L918" s="0" t="str">
        <f aca="false">VLOOKUP(D918,Products!$A$2:$D$13,2,FALSE())</f>
        <v>Accessories</v>
      </c>
      <c r="M918" s="3" t="n">
        <f aca="false">F918*G918*(1-H918/100)</f>
        <v>1598</v>
      </c>
      <c r="N918" s="0" t="str">
        <f aca="false">VLOOKUP(I918,Customers!$A$2:$D$121,3,FALSE())</f>
        <v>Chennai</v>
      </c>
      <c r="O918" s="0" t="str">
        <f aca="false">VLOOKUP(I918,Customers!$A$2:$D$121,4,FALSE())</f>
        <v>Student</v>
      </c>
      <c r="P918" s="0" t="str">
        <f aca="false">TEXT(B918,"yyyy-mm")</f>
        <v>2025-11</v>
      </c>
    </row>
    <row r="919" customFormat="false" ht="15" hidden="false" customHeight="false" outlineLevel="0" collapsed="false">
      <c r="A919" s="0" t="s">
        <v>1085</v>
      </c>
      <c r="B919" s="2" t="n">
        <v>45976</v>
      </c>
      <c r="C919" s="3" t="s">
        <v>72</v>
      </c>
      <c r="D919" s="3" t="s">
        <v>41</v>
      </c>
      <c r="E919" s="3" t="s">
        <v>73</v>
      </c>
      <c r="F919" s="0" t="n">
        <v>1</v>
      </c>
      <c r="G919" s="0" t="n">
        <v>399</v>
      </c>
      <c r="H919" s="0" t="n">
        <v>10</v>
      </c>
      <c r="I919" s="3" t="s">
        <v>67</v>
      </c>
      <c r="J919" s="0" t="n">
        <v>3</v>
      </c>
      <c r="K919" s="3" t="s">
        <v>43</v>
      </c>
      <c r="L919" s="0" t="str">
        <f aca="false">VLOOKUP(D919,Products!$A$2:$D$13,2,FALSE())</f>
        <v>Electronics</v>
      </c>
      <c r="M919" s="3" t="n">
        <f aca="false">F919*G919*(1-H919/100)</f>
        <v>359.1</v>
      </c>
      <c r="N919" s="0" t="str">
        <f aca="false">VLOOKUP(I919,Customers!$A$2:$D$121,3,FALSE())</f>
        <v>Jaipur</v>
      </c>
      <c r="O919" s="0" t="str">
        <f aca="false">VLOOKUP(I919,Customers!$A$2:$D$121,4,FALSE())</f>
        <v>Corporate</v>
      </c>
      <c r="P919" s="0" t="str">
        <f aca="false">TEXT(B919,"yyyy-mm")</f>
        <v>2025-11</v>
      </c>
    </row>
    <row r="920" customFormat="false" ht="15" hidden="false" customHeight="false" outlineLevel="0" collapsed="false">
      <c r="A920" s="0" t="s">
        <v>1086</v>
      </c>
      <c r="B920" s="2" t="n">
        <v>45831</v>
      </c>
      <c r="C920" s="3" t="s">
        <v>72</v>
      </c>
      <c r="D920" s="3" t="s">
        <v>32</v>
      </c>
      <c r="E920" s="3" t="s">
        <v>73</v>
      </c>
      <c r="F920" s="0" t="n">
        <v>1</v>
      </c>
      <c r="G920" s="0" t="n">
        <v>249</v>
      </c>
      <c r="H920" s="0" t="n">
        <v>15</v>
      </c>
      <c r="I920" s="3" t="s">
        <v>400</v>
      </c>
      <c r="J920" s="0" t="n">
        <v>4</v>
      </c>
      <c r="K920" s="3" t="s">
        <v>26</v>
      </c>
      <c r="L920" s="0" t="str">
        <f aca="false">VLOOKUP(D920,Products!$A$2:$D$13,2,FALSE())</f>
        <v>Accessories</v>
      </c>
      <c r="M920" s="3" t="n">
        <f aca="false">F920*G920*(1-H920/100)</f>
        <v>211.65</v>
      </c>
      <c r="N920" s="0" t="str">
        <f aca="false">VLOOKUP(I920,Customers!$A$2:$D$121,3,FALSE())</f>
        <v>Lucknow</v>
      </c>
      <c r="O920" s="0" t="str">
        <f aca="false">VLOOKUP(I920,Customers!$A$2:$D$121,4,FALSE())</f>
        <v>Retail</v>
      </c>
      <c r="P920" s="0" t="str">
        <f aca="false">TEXT(B920,"yyyy-mm")</f>
        <v>2025-06</v>
      </c>
    </row>
    <row r="921" customFormat="false" ht="15" hidden="false" customHeight="false" outlineLevel="0" collapsed="false">
      <c r="A921" s="0" t="s">
        <v>1087</v>
      </c>
      <c r="B921" s="2" t="n">
        <v>45792</v>
      </c>
      <c r="C921" s="3" t="s">
        <v>23</v>
      </c>
      <c r="D921" s="3" t="s">
        <v>116</v>
      </c>
      <c r="E921" s="3" t="s">
        <v>29</v>
      </c>
      <c r="F921" s="0" t="n">
        <v>4</v>
      </c>
      <c r="G921" s="0" t="n">
        <v>699</v>
      </c>
      <c r="H921" s="0" t="n">
        <v>0</v>
      </c>
      <c r="I921" s="3" t="s">
        <v>296</v>
      </c>
      <c r="J921" s="0" t="n">
        <v>3</v>
      </c>
      <c r="K921" s="3" t="s">
        <v>21</v>
      </c>
      <c r="L921" s="0" t="str">
        <f aca="false">VLOOKUP(D921,Products!$A$2:$D$13,2,FALSE())</f>
        <v>Home</v>
      </c>
      <c r="M921" s="3" t="n">
        <f aca="false">F921*G921*(1-H921/100)</f>
        <v>2796</v>
      </c>
      <c r="N921" s="0" t="str">
        <f aca="false">VLOOKUP(I921,Customers!$A$2:$D$121,3,FALSE())</f>
        <v>Pune</v>
      </c>
      <c r="O921" s="0" t="str">
        <f aca="false">VLOOKUP(I921,Customers!$A$2:$D$121,4,FALSE())</f>
        <v>Retail</v>
      </c>
      <c r="P921" s="0" t="str">
        <f aca="false">TEXT(B921,"yyyy-mm")</f>
        <v>2025-05</v>
      </c>
    </row>
    <row r="922" customFormat="false" ht="15" hidden="false" customHeight="false" outlineLevel="0" collapsed="false">
      <c r="A922" s="0" t="s">
        <v>1088</v>
      </c>
      <c r="B922" s="2" t="n">
        <v>45793</v>
      </c>
      <c r="C922" s="3" t="s">
        <v>51</v>
      </c>
      <c r="D922" s="3" t="s">
        <v>116</v>
      </c>
      <c r="E922" s="3" t="s">
        <v>83</v>
      </c>
      <c r="F922" s="0" t="n">
        <v>7</v>
      </c>
      <c r="G922" s="0" t="n">
        <v>699</v>
      </c>
      <c r="H922" s="0" t="n">
        <v>0</v>
      </c>
      <c r="I922" s="3" t="s">
        <v>237</v>
      </c>
      <c r="J922" s="0" t="n">
        <v>4</v>
      </c>
      <c r="K922" s="3" t="s">
        <v>43</v>
      </c>
      <c r="L922" s="0" t="str">
        <f aca="false">VLOOKUP(D922,Products!$A$2:$D$13,2,FALSE())</f>
        <v>Home</v>
      </c>
      <c r="M922" s="3" t="n">
        <f aca="false">F922*G922*(1-H922/100)</f>
        <v>4893</v>
      </c>
      <c r="N922" s="0" t="str">
        <f aca="false">VLOOKUP(I922,Customers!$A$2:$D$121,3,FALSE())</f>
        <v>Jaipur</v>
      </c>
      <c r="O922" s="0" t="str">
        <f aca="false">VLOOKUP(I922,Customers!$A$2:$D$121,4,FALSE())</f>
        <v>Retail</v>
      </c>
      <c r="P922" s="0" t="str">
        <f aca="false">TEXT(B922,"yyyy-mm")</f>
        <v>2025-05</v>
      </c>
    </row>
    <row r="923" customFormat="false" ht="15" hidden="false" customHeight="false" outlineLevel="0" collapsed="false">
      <c r="A923" s="0" t="s">
        <v>1089</v>
      </c>
      <c r="B923" s="2" t="n">
        <v>45984</v>
      </c>
      <c r="C923" s="3" t="s">
        <v>23</v>
      </c>
      <c r="D923" s="3" t="s">
        <v>108</v>
      </c>
      <c r="E923" s="3" t="s">
        <v>24</v>
      </c>
      <c r="F923" s="0" t="n">
        <v>2</v>
      </c>
      <c r="G923" s="0" t="n">
        <v>180</v>
      </c>
      <c r="H923" s="0" t="n">
        <v>15</v>
      </c>
      <c r="I923" s="3" t="s">
        <v>276</v>
      </c>
      <c r="J923" s="0" t="n">
        <v>5</v>
      </c>
      <c r="K923" s="3" t="s">
        <v>26</v>
      </c>
      <c r="L923" s="0" t="str">
        <f aca="false">VLOOKUP(D923,Products!$A$2:$D$13,2,FALSE())</f>
        <v>Stationery</v>
      </c>
      <c r="M923" s="3" t="n">
        <f aca="false">F923*G923*(1-H923/100)</f>
        <v>306</v>
      </c>
      <c r="N923" s="0" t="str">
        <f aca="false">VLOOKUP(I923,Customers!$A$2:$D$121,3,FALSE())</f>
        <v>Jaipur</v>
      </c>
      <c r="O923" s="0" t="str">
        <f aca="false">VLOOKUP(I923,Customers!$A$2:$D$121,4,FALSE())</f>
        <v>Retail</v>
      </c>
      <c r="P923" s="0" t="str">
        <f aca="false">TEXT(B923,"yyyy-mm")</f>
        <v>2025-11</v>
      </c>
    </row>
    <row r="924" customFormat="false" ht="15" hidden="false" customHeight="false" outlineLevel="0" collapsed="false">
      <c r="A924" s="0" t="s">
        <v>1090</v>
      </c>
      <c r="B924" s="2" t="n">
        <v>45896</v>
      </c>
      <c r="C924" s="3" t="s">
        <v>51</v>
      </c>
      <c r="D924" s="3" t="s">
        <v>108</v>
      </c>
      <c r="E924" s="3" t="s">
        <v>83</v>
      </c>
      <c r="F924" s="0" t="n">
        <v>1</v>
      </c>
      <c r="G924" s="0" t="n">
        <v>180</v>
      </c>
      <c r="H924" s="0" t="n">
        <v>10</v>
      </c>
      <c r="I924" s="3" t="s">
        <v>96</v>
      </c>
      <c r="J924" s="0" t="n">
        <v>1</v>
      </c>
      <c r="K924" s="3" t="s">
        <v>34</v>
      </c>
      <c r="L924" s="0" t="str">
        <f aca="false">VLOOKUP(D924,Products!$A$2:$D$13,2,FALSE())</f>
        <v>Stationery</v>
      </c>
      <c r="M924" s="3" t="n">
        <f aca="false">F924*G924*(1-H924/100)</f>
        <v>162</v>
      </c>
      <c r="N924" s="0" t="str">
        <f aca="false">VLOOKUP(I924,Customers!$A$2:$D$121,3,FALSE())</f>
        <v>Delhi</v>
      </c>
      <c r="O924" s="0" t="str">
        <f aca="false">VLOOKUP(I924,Customers!$A$2:$D$121,4,FALSE())</f>
        <v>Retail</v>
      </c>
      <c r="P924" s="0" t="str">
        <f aca="false">TEXT(B924,"yyyy-mm")</f>
        <v>2025-08</v>
      </c>
    </row>
    <row r="925" customFormat="false" ht="15" hidden="false" customHeight="false" outlineLevel="0" collapsed="false">
      <c r="A925" s="0" t="s">
        <v>1091</v>
      </c>
      <c r="B925" s="2" t="n">
        <v>45985</v>
      </c>
      <c r="C925" s="3" t="s">
        <v>23</v>
      </c>
      <c r="D925" s="3" t="s">
        <v>32</v>
      </c>
      <c r="E925" s="3" t="s">
        <v>24</v>
      </c>
      <c r="F925" s="0" t="n">
        <v>1</v>
      </c>
      <c r="G925" s="0" t="n">
        <v>249</v>
      </c>
      <c r="H925" s="0" t="n">
        <v>0</v>
      </c>
      <c r="I925" s="3" t="s">
        <v>137</v>
      </c>
      <c r="J925" s="0" t="n">
        <v>5</v>
      </c>
      <c r="K925" s="3" t="s">
        <v>34</v>
      </c>
      <c r="L925" s="0" t="str">
        <f aca="false">VLOOKUP(D925,Products!$A$2:$D$13,2,FALSE())</f>
        <v>Accessories</v>
      </c>
      <c r="M925" s="3" t="n">
        <f aca="false">F925*G925*(1-H925/100)</f>
        <v>249</v>
      </c>
      <c r="N925" s="0" t="str">
        <f aca="false">VLOOKUP(I925,Customers!$A$2:$D$121,3,FALSE())</f>
        <v>Mumbai</v>
      </c>
      <c r="O925" s="0" t="str">
        <f aca="false">VLOOKUP(I925,Customers!$A$2:$D$121,4,FALSE())</f>
        <v>Corporate</v>
      </c>
      <c r="P925" s="0" t="str">
        <f aca="false">TEXT(B925,"yyyy-mm")</f>
        <v>2025-11</v>
      </c>
    </row>
    <row r="926" customFormat="false" ht="15" hidden="false" customHeight="false" outlineLevel="0" collapsed="false">
      <c r="A926" s="0" t="s">
        <v>1092</v>
      </c>
      <c r="B926" s="2" t="n">
        <v>45811</v>
      </c>
      <c r="C926" s="3" t="s">
        <v>51</v>
      </c>
      <c r="D926" s="3" t="s">
        <v>37</v>
      </c>
      <c r="E926" s="3" t="s">
        <v>83</v>
      </c>
      <c r="F926" s="0" t="n">
        <v>1</v>
      </c>
      <c r="G926" s="0" t="n">
        <v>500</v>
      </c>
      <c r="H926" s="0" t="n">
        <v>15</v>
      </c>
      <c r="I926" s="3" t="s">
        <v>269</v>
      </c>
      <c r="J926" s="0" t="n">
        <v>5</v>
      </c>
      <c r="K926" s="3" t="s">
        <v>26</v>
      </c>
      <c r="L926" s="0" t="str">
        <f aca="false">VLOOKUP(D926,Products!$A$2:$D$13,2,FALSE())</f>
        <v>Electronics</v>
      </c>
      <c r="M926" s="3" t="n">
        <f aca="false">F926*G926*(1-H926/100)</f>
        <v>425</v>
      </c>
      <c r="N926" s="0" t="str">
        <f aca="false">VLOOKUP(I926,Customers!$A$2:$D$121,3,FALSE())</f>
        <v>Mumbai</v>
      </c>
      <c r="O926" s="0" t="str">
        <f aca="false">VLOOKUP(I926,Customers!$A$2:$D$121,4,FALSE())</f>
        <v>Student</v>
      </c>
      <c r="P926" s="0" t="str">
        <f aca="false">TEXT(B926,"yyyy-mm")</f>
        <v>2025-06</v>
      </c>
    </row>
    <row r="927" customFormat="false" ht="15" hidden="false" customHeight="false" outlineLevel="0" collapsed="false">
      <c r="A927" s="0" t="s">
        <v>1093</v>
      </c>
      <c r="B927" s="2" t="n">
        <v>45762</v>
      </c>
      <c r="C927" s="3" t="s">
        <v>36</v>
      </c>
      <c r="D927" s="3" t="s">
        <v>32</v>
      </c>
      <c r="E927" s="3" t="s">
        <v>38</v>
      </c>
      <c r="F927" s="0" t="n">
        <v>5</v>
      </c>
      <c r="G927" s="0" t="n">
        <v>249</v>
      </c>
      <c r="H927" s="0" t="n">
        <v>0</v>
      </c>
      <c r="I927" s="3" t="s">
        <v>33</v>
      </c>
      <c r="J927" s="0" t="n">
        <v>3</v>
      </c>
      <c r="K927" s="3" t="s">
        <v>34</v>
      </c>
      <c r="L927" s="0" t="str">
        <f aca="false">VLOOKUP(D927,Products!$A$2:$D$13,2,FALSE())</f>
        <v>Accessories</v>
      </c>
      <c r="M927" s="3" t="n">
        <f aca="false">F927*G927*(1-H927/100)</f>
        <v>1245</v>
      </c>
      <c r="N927" s="0" t="str">
        <f aca="false">VLOOKUP(I927,Customers!$A$2:$D$121,3,FALSE())</f>
        <v>Indore</v>
      </c>
      <c r="O927" s="0" t="str">
        <f aca="false">VLOOKUP(I927,Customers!$A$2:$D$121,4,FALSE())</f>
        <v>Corporate</v>
      </c>
      <c r="P927" s="0" t="str">
        <f aca="false">TEXT(B927,"yyyy-mm")</f>
        <v>2025-04</v>
      </c>
    </row>
    <row r="928" customFormat="false" ht="15" hidden="false" customHeight="false" outlineLevel="0" collapsed="false">
      <c r="A928" s="0" t="s">
        <v>1094</v>
      </c>
      <c r="B928" s="2" t="n">
        <v>46037</v>
      </c>
      <c r="C928" s="3" t="s">
        <v>51</v>
      </c>
      <c r="D928" s="3" t="s">
        <v>116</v>
      </c>
      <c r="E928" s="3" t="s">
        <v>83</v>
      </c>
      <c r="F928" s="0" t="n">
        <v>1</v>
      </c>
      <c r="G928" s="0" t="n">
        <v>699</v>
      </c>
      <c r="H928" s="0" t="n">
        <v>5</v>
      </c>
      <c r="I928" s="3" t="s">
        <v>264</v>
      </c>
      <c r="J928" s="0" t="n">
        <v>3</v>
      </c>
      <c r="K928" s="3" t="s">
        <v>21</v>
      </c>
      <c r="L928" s="0" t="str">
        <f aca="false">VLOOKUP(D928,Products!$A$2:$D$13,2,FALSE())</f>
        <v>Home</v>
      </c>
      <c r="M928" s="3" t="n">
        <f aca="false">F928*G928*(1-H928/100)</f>
        <v>664.05</v>
      </c>
      <c r="N928" s="0" t="str">
        <f aca="false">VLOOKUP(I928,Customers!$A$2:$D$121,3,FALSE())</f>
        <v>Kolkata</v>
      </c>
      <c r="O928" s="0" t="str">
        <f aca="false">VLOOKUP(I928,Customers!$A$2:$D$121,4,FALSE())</f>
        <v>Student</v>
      </c>
      <c r="P928" s="0" t="str">
        <f aca="false">TEXT(B928,"yyyy-mm")</f>
        <v>2026-01</v>
      </c>
    </row>
    <row r="929" customFormat="false" ht="15" hidden="false" customHeight="false" outlineLevel="0" collapsed="false">
      <c r="A929" s="0" t="s">
        <v>1095</v>
      </c>
      <c r="B929" s="2" t="n">
        <v>46042</v>
      </c>
      <c r="C929" s="3" t="s">
        <v>23</v>
      </c>
      <c r="D929" s="3" t="s">
        <v>41</v>
      </c>
      <c r="E929" s="3" t="s">
        <v>24</v>
      </c>
      <c r="F929" s="0" t="n">
        <v>2</v>
      </c>
      <c r="G929" s="0" t="n">
        <v>399</v>
      </c>
      <c r="H929" s="0" t="n">
        <v>0</v>
      </c>
      <c r="I929" s="3" t="s">
        <v>304</v>
      </c>
      <c r="J929" s="0" t="n">
        <v>3</v>
      </c>
      <c r="K929" s="3" t="s">
        <v>26</v>
      </c>
      <c r="L929" s="0" t="str">
        <f aca="false">VLOOKUP(D929,Products!$A$2:$D$13,2,FALSE())</f>
        <v>Electronics</v>
      </c>
      <c r="M929" s="3" t="n">
        <f aca="false">F929*G929*(1-H929/100)</f>
        <v>798</v>
      </c>
      <c r="N929" s="0" t="str">
        <f aca="false">VLOOKUP(I929,Customers!$A$2:$D$121,3,FALSE())</f>
        <v>Delhi</v>
      </c>
      <c r="O929" s="0" t="str">
        <f aca="false">VLOOKUP(I929,Customers!$A$2:$D$121,4,FALSE())</f>
        <v>Retail</v>
      </c>
      <c r="P929" s="0" t="str">
        <f aca="false">TEXT(B929,"yyyy-mm")</f>
        <v>2026-01</v>
      </c>
    </row>
    <row r="930" customFormat="false" ht="15" hidden="false" customHeight="false" outlineLevel="0" collapsed="false">
      <c r="A930" s="0" t="s">
        <v>1096</v>
      </c>
      <c r="B930" s="2" t="n">
        <v>46102</v>
      </c>
      <c r="C930" s="3" t="s">
        <v>51</v>
      </c>
      <c r="D930" s="3" t="s">
        <v>41</v>
      </c>
      <c r="E930" s="3" t="s">
        <v>83</v>
      </c>
      <c r="F930" s="0" t="n">
        <v>1</v>
      </c>
      <c r="G930" s="0" t="n">
        <v>399</v>
      </c>
      <c r="H930" s="0" t="n">
        <v>0</v>
      </c>
      <c r="I930" s="3" t="s">
        <v>135</v>
      </c>
      <c r="J930" s="0" t="n">
        <v>3</v>
      </c>
      <c r="K930" s="3" t="s">
        <v>34</v>
      </c>
      <c r="L930" s="0" t="str">
        <f aca="false">VLOOKUP(D930,Products!$A$2:$D$13,2,FALSE())</f>
        <v>Electronics</v>
      </c>
      <c r="M930" s="3" t="n">
        <f aca="false">F930*G930*(1-H930/100)</f>
        <v>399</v>
      </c>
      <c r="N930" s="0" t="str">
        <f aca="false">VLOOKUP(I930,Customers!$A$2:$D$121,3,FALSE())</f>
        <v>Jaipur</v>
      </c>
      <c r="O930" s="0" t="str">
        <f aca="false">VLOOKUP(I930,Customers!$A$2:$D$121,4,FALSE())</f>
        <v>Corporate</v>
      </c>
      <c r="P930" s="0" t="str">
        <f aca="false">TEXT(B930,"yyyy-mm")</f>
        <v>2026-03</v>
      </c>
    </row>
    <row r="931" customFormat="false" ht="15" hidden="false" customHeight="false" outlineLevel="0" collapsed="false">
      <c r="A931" s="0" t="s">
        <v>1097</v>
      </c>
      <c r="B931" s="2" t="n">
        <v>45772</v>
      </c>
      <c r="C931" s="3" t="s">
        <v>72</v>
      </c>
      <c r="D931" s="3" t="s">
        <v>88</v>
      </c>
      <c r="E931" s="3" t="s">
        <v>89</v>
      </c>
      <c r="F931" s="0" t="n">
        <v>2</v>
      </c>
      <c r="G931" s="0" t="n">
        <v>799</v>
      </c>
      <c r="H931" s="0" t="n">
        <v>0</v>
      </c>
      <c r="I931" s="3" t="s">
        <v>246</v>
      </c>
      <c r="J931" s="0" t="n">
        <v>4</v>
      </c>
      <c r="K931" s="3" t="s">
        <v>26</v>
      </c>
      <c r="L931" s="0" t="str">
        <f aca="false">VLOOKUP(D931,Products!$A$2:$D$13,2,FALSE())</f>
        <v>Accessories</v>
      </c>
      <c r="M931" s="3" t="n">
        <f aca="false">F931*G931*(1-H931/100)</f>
        <v>1598</v>
      </c>
      <c r="N931" s="0" t="str">
        <f aca="false">VLOOKUP(I931,Customers!$A$2:$D$121,3,FALSE())</f>
        <v>Pune</v>
      </c>
      <c r="O931" s="0" t="str">
        <f aca="false">VLOOKUP(I931,Customers!$A$2:$D$121,4,FALSE())</f>
        <v>Student</v>
      </c>
      <c r="P931" s="0" t="str">
        <f aca="false">TEXT(B931,"yyyy-mm")</f>
        <v>2025-04</v>
      </c>
    </row>
    <row r="932" customFormat="false" ht="15" hidden="false" customHeight="false" outlineLevel="0" collapsed="false">
      <c r="A932" s="0" t="s">
        <v>1098</v>
      </c>
      <c r="B932" s="2" t="n">
        <v>45796</v>
      </c>
      <c r="C932" s="3" t="s">
        <v>36</v>
      </c>
      <c r="D932" s="3" t="s">
        <v>18</v>
      </c>
      <c r="E932" s="3" t="s">
        <v>69</v>
      </c>
      <c r="F932" s="0" t="n">
        <v>2</v>
      </c>
      <c r="G932" s="0" t="n">
        <v>349</v>
      </c>
      <c r="H932" s="0" t="n">
        <v>10</v>
      </c>
      <c r="I932" s="3" t="s">
        <v>182</v>
      </c>
      <c r="J932" s="0" t="n">
        <v>3</v>
      </c>
      <c r="K932" s="3" t="s">
        <v>34</v>
      </c>
      <c r="L932" s="0" t="str">
        <f aca="false">VLOOKUP(D932,Products!$A$2:$D$13,2,FALSE())</f>
        <v>Home</v>
      </c>
      <c r="M932" s="3" t="n">
        <f aca="false">F932*G932*(1-H932/100)</f>
        <v>628.2</v>
      </c>
      <c r="N932" s="0" t="str">
        <f aca="false">VLOOKUP(I932,Customers!$A$2:$D$121,3,FALSE())</f>
        <v>Pune</v>
      </c>
      <c r="O932" s="0" t="str">
        <f aca="false">VLOOKUP(I932,Customers!$A$2:$D$121,4,FALSE())</f>
        <v>Corporate</v>
      </c>
      <c r="P932" s="0" t="str">
        <f aca="false">TEXT(B932,"yyyy-mm")</f>
        <v>2025-05</v>
      </c>
    </row>
    <row r="933" customFormat="false" ht="15" hidden="false" customHeight="false" outlineLevel="0" collapsed="false">
      <c r="A933" s="0" t="s">
        <v>1099</v>
      </c>
      <c r="B933" s="2" t="n">
        <v>45886</v>
      </c>
      <c r="C933" s="3" t="s">
        <v>72</v>
      </c>
      <c r="D933" s="3" t="s">
        <v>18</v>
      </c>
      <c r="E933" s="3" t="s">
        <v>89</v>
      </c>
      <c r="F933" s="0" t="n">
        <v>3</v>
      </c>
      <c r="G933" s="0" t="n">
        <v>349</v>
      </c>
      <c r="H933" s="0" t="n">
        <v>15</v>
      </c>
      <c r="I933" s="3" t="s">
        <v>55</v>
      </c>
      <c r="J933" s="0" t="n">
        <v>4</v>
      </c>
      <c r="K933" s="3" t="s">
        <v>34</v>
      </c>
      <c r="L933" s="0" t="str">
        <f aca="false">VLOOKUP(D933,Products!$A$2:$D$13,2,FALSE())</f>
        <v>Home</v>
      </c>
      <c r="M933" s="3" t="n">
        <f aca="false">F933*G933*(1-H933/100)</f>
        <v>889.95</v>
      </c>
      <c r="N933" s="0" t="str">
        <f aca="false">VLOOKUP(I933,Customers!$A$2:$D$121,3,FALSE())</f>
        <v>Jaipur</v>
      </c>
      <c r="O933" s="0" t="str">
        <f aca="false">VLOOKUP(I933,Customers!$A$2:$D$121,4,FALSE())</f>
        <v>Corporate</v>
      </c>
      <c r="P933" s="0" t="str">
        <f aca="false">TEXT(B933,"yyyy-mm")</f>
        <v>2025-08</v>
      </c>
    </row>
    <row r="934" customFormat="false" ht="15" hidden="false" customHeight="false" outlineLevel="0" collapsed="false">
      <c r="A934" s="0" t="s">
        <v>1100</v>
      </c>
      <c r="B934" s="2" t="n">
        <v>45818</v>
      </c>
      <c r="C934" s="3" t="s">
        <v>17</v>
      </c>
      <c r="D934" s="3" t="s">
        <v>108</v>
      </c>
      <c r="E934" s="3" t="s">
        <v>93</v>
      </c>
      <c r="F934" s="0" t="n">
        <v>1</v>
      </c>
      <c r="G934" s="0" t="n">
        <v>180</v>
      </c>
      <c r="H934" s="0" t="n">
        <v>10</v>
      </c>
      <c r="I934" s="3" t="s">
        <v>154</v>
      </c>
      <c r="J934" s="0" t="n">
        <v>4</v>
      </c>
      <c r="K934" s="3" t="s">
        <v>43</v>
      </c>
      <c r="L934" s="0" t="str">
        <f aca="false">VLOOKUP(D934,Products!$A$2:$D$13,2,FALSE())</f>
        <v>Stationery</v>
      </c>
      <c r="M934" s="3" t="n">
        <f aca="false">F934*G934*(1-H934/100)</f>
        <v>162</v>
      </c>
      <c r="N934" s="0" t="str">
        <f aca="false">VLOOKUP(I934,Customers!$A$2:$D$121,3,FALSE())</f>
        <v>Lucknow</v>
      </c>
      <c r="O934" s="0" t="str">
        <f aca="false">VLOOKUP(I934,Customers!$A$2:$D$121,4,FALSE())</f>
        <v>Retail</v>
      </c>
      <c r="P934" s="0" t="str">
        <f aca="false">TEXT(B934,"yyyy-mm")</f>
        <v>2025-06</v>
      </c>
    </row>
    <row r="935" customFormat="false" ht="15" hidden="false" customHeight="false" outlineLevel="0" collapsed="false">
      <c r="A935" s="0" t="s">
        <v>1101</v>
      </c>
      <c r="B935" s="2" t="n">
        <v>45800</v>
      </c>
      <c r="C935" s="3" t="s">
        <v>36</v>
      </c>
      <c r="D935" s="3" t="s">
        <v>41</v>
      </c>
      <c r="E935" s="3" t="s">
        <v>38</v>
      </c>
      <c r="F935" s="0" t="n">
        <v>1</v>
      </c>
      <c r="G935" s="0" t="n">
        <v>399</v>
      </c>
      <c r="H935" s="0" t="n">
        <v>0</v>
      </c>
      <c r="I935" s="3" t="s">
        <v>485</v>
      </c>
      <c r="J935" s="0" t="n">
        <v>4</v>
      </c>
      <c r="K935" s="3" t="s">
        <v>21</v>
      </c>
      <c r="L935" s="0" t="str">
        <f aca="false">VLOOKUP(D935,Products!$A$2:$D$13,2,FALSE())</f>
        <v>Electronics</v>
      </c>
      <c r="M935" s="3" t="n">
        <f aca="false">F935*G935*(1-H935/100)</f>
        <v>399</v>
      </c>
      <c r="N935" s="0" t="str">
        <f aca="false">VLOOKUP(I935,Customers!$A$2:$D$121,3,FALSE())</f>
        <v>Indore</v>
      </c>
      <c r="O935" s="0" t="str">
        <f aca="false">VLOOKUP(I935,Customers!$A$2:$D$121,4,FALSE())</f>
        <v>Retail</v>
      </c>
      <c r="P935" s="0" t="str">
        <f aca="false">TEXT(B935,"yyyy-mm")</f>
        <v>2025-05</v>
      </c>
    </row>
    <row r="936" customFormat="false" ht="15" hidden="false" customHeight="false" outlineLevel="0" collapsed="false">
      <c r="A936" s="0" t="s">
        <v>1102</v>
      </c>
      <c r="B936" s="2" t="n">
        <v>45787</v>
      </c>
      <c r="C936" s="3" t="s">
        <v>51</v>
      </c>
      <c r="D936" s="3" t="s">
        <v>88</v>
      </c>
      <c r="E936" s="3" t="s">
        <v>52</v>
      </c>
      <c r="F936" s="0" t="n">
        <v>1</v>
      </c>
      <c r="G936" s="0" t="n">
        <v>799</v>
      </c>
      <c r="H936" s="0" t="n">
        <v>0</v>
      </c>
      <c r="I936" s="3" t="s">
        <v>373</v>
      </c>
      <c r="J936" s="0" t="n">
        <v>3</v>
      </c>
      <c r="K936" s="3" t="s">
        <v>43</v>
      </c>
      <c r="L936" s="0" t="str">
        <f aca="false">VLOOKUP(D936,Products!$A$2:$D$13,2,FALSE())</f>
        <v>Accessories</v>
      </c>
      <c r="M936" s="3" t="n">
        <f aca="false">F936*G936*(1-H936/100)</f>
        <v>799</v>
      </c>
      <c r="N936" s="0" t="str">
        <f aca="false">VLOOKUP(I936,Customers!$A$2:$D$121,3,FALSE())</f>
        <v>Bhopal</v>
      </c>
      <c r="O936" s="0" t="str">
        <f aca="false">VLOOKUP(I936,Customers!$A$2:$D$121,4,FALSE())</f>
        <v>Corporate</v>
      </c>
      <c r="P936" s="0" t="str">
        <f aca="false">TEXT(B936,"yyyy-mm")</f>
        <v>2025-05</v>
      </c>
    </row>
    <row r="937" customFormat="false" ht="15" hidden="false" customHeight="false" outlineLevel="0" collapsed="false">
      <c r="A937" s="0" t="s">
        <v>1103</v>
      </c>
      <c r="B937" s="2" t="n">
        <v>46101</v>
      </c>
      <c r="C937" s="3" t="s">
        <v>72</v>
      </c>
      <c r="D937" s="3" t="s">
        <v>41</v>
      </c>
      <c r="E937" s="3" t="s">
        <v>73</v>
      </c>
      <c r="F937" s="0" t="n">
        <v>4</v>
      </c>
      <c r="G937" s="0" t="n">
        <v>399</v>
      </c>
      <c r="H937" s="0" t="n">
        <v>0</v>
      </c>
      <c r="I937" s="3" t="s">
        <v>291</v>
      </c>
      <c r="J937" s="0" t="n">
        <v>5</v>
      </c>
      <c r="K937" s="3" t="s">
        <v>26</v>
      </c>
      <c r="L937" s="0" t="str">
        <f aca="false">VLOOKUP(D937,Products!$A$2:$D$13,2,FALSE())</f>
        <v>Electronics</v>
      </c>
      <c r="M937" s="3" t="n">
        <f aca="false">F937*G937*(1-H937/100)</f>
        <v>1596</v>
      </c>
      <c r="N937" s="0" t="str">
        <f aca="false">VLOOKUP(I937,Customers!$A$2:$D$121,3,FALSE())</f>
        <v>Pune</v>
      </c>
      <c r="O937" s="0" t="str">
        <f aca="false">VLOOKUP(I937,Customers!$A$2:$D$121,4,FALSE())</f>
        <v>Retail</v>
      </c>
      <c r="P937" s="0" t="str">
        <f aca="false">TEXT(B937,"yyyy-mm")</f>
        <v>2026-03</v>
      </c>
    </row>
    <row r="938" customFormat="false" ht="15" hidden="false" customHeight="false" outlineLevel="0" collapsed="false">
      <c r="A938" s="0" t="s">
        <v>1104</v>
      </c>
      <c r="B938" s="2" t="n">
        <v>45762</v>
      </c>
      <c r="C938" s="3" t="s">
        <v>72</v>
      </c>
      <c r="D938" s="3" t="s">
        <v>48</v>
      </c>
      <c r="E938" s="3" t="s">
        <v>89</v>
      </c>
      <c r="F938" s="0" t="n">
        <v>4</v>
      </c>
      <c r="G938" s="0" t="n">
        <v>199</v>
      </c>
      <c r="H938" s="0" t="n">
        <v>15</v>
      </c>
      <c r="I938" s="3" t="s">
        <v>373</v>
      </c>
      <c r="J938" s="0" t="n">
        <v>2</v>
      </c>
      <c r="K938" s="3" t="s">
        <v>26</v>
      </c>
      <c r="L938" s="0" t="str">
        <f aca="false">VLOOKUP(D938,Products!$A$2:$D$13,2,FALSE())</f>
        <v>Home</v>
      </c>
      <c r="M938" s="3" t="n">
        <f aca="false">F938*G938*(1-H938/100)</f>
        <v>676.6</v>
      </c>
      <c r="N938" s="0" t="str">
        <f aca="false">VLOOKUP(I938,Customers!$A$2:$D$121,3,FALSE())</f>
        <v>Bhopal</v>
      </c>
      <c r="O938" s="0" t="str">
        <f aca="false">VLOOKUP(I938,Customers!$A$2:$D$121,4,FALSE())</f>
        <v>Corporate</v>
      </c>
      <c r="P938" s="0" t="str">
        <f aca="false">TEXT(B938,"yyyy-mm")</f>
        <v>2025-04</v>
      </c>
    </row>
    <row r="939" customFormat="false" ht="15" hidden="false" customHeight="false" outlineLevel="0" collapsed="false">
      <c r="A939" s="0" t="s">
        <v>1105</v>
      </c>
      <c r="B939" s="2" t="n">
        <v>45905</v>
      </c>
      <c r="C939" s="3" t="s">
        <v>36</v>
      </c>
      <c r="D939" s="3" t="s">
        <v>48</v>
      </c>
      <c r="E939" s="3" t="s">
        <v>38</v>
      </c>
      <c r="F939" s="0" t="n">
        <v>2</v>
      </c>
      <c r="G939" s="0" t="n">
        <v>199</v>
      </c>
      <c r="H939" s="0" t="n">
        <v>0</v>
      </c>
      <c r="I939" s="3" t="s">
        <v>296</v>
      </c>
      <c r="J939" s="0" t="n">
        <v>3</v>
      </c>
      <c r="K939" s="3" t="s">
        <v>43</v>
      </c>
      <c r="L939" s="0" t="str">
        <f aca="false">VLOOKUP(D939,Products!$A$2:$D$13,2,FALSE())</f>
        <v>Home</v>
      </c>
      <c r="M939" s="3" t="n">
        <f aca="false">F939*G939*(1-H939/100)</f>
        <v>398</v>
      </c>
      <c r="N939" s="0" t="str">
        <f aca="false">VLOOKUP(I939,Customers!$A$2:$D$121,3,FALSE())</f>
        <v>Pune</v>
      </c>
      <c r="O939" s="0" t="str">
        <f aca="false">VLOOKUP(I939,Customers!$A$2:$D$121,4,FALSE())</f>
        <v>Retail</v>
      </c>
      <c r="P939" s="0" t="str">
        <f aca="false">TEXT(B939,"yyyy-mm")</f>
        <v>2025-09</v>
      </c>
    </row>
    <row r="940" customFormat="false" ht="15" hidden="false" customHeight="false" outlineLevel="0" collapsed="false">
      <c r="A940" s="0" t="s">
        <v>1106</v>
      </c>
      <c r="B940" s="2" t="n">
        <v>45787</v>
      </c>
      <c r="C940" s="3" t="s">
        <v>17</v>
      </c>
      <c r="D940" s="3" t="s">
        <v>48</v>
      </c>
      <c r="E940" s="3" t="s">
        <v>93</v>
      </c>
      <c r="F940" s="0" t="n">
        <v>2</v>
      </c>
      <c r="G940" s="0" t="n">
        <v>199</v>
      </c>
      <c r="H940" s="0" t="n">
        <v>0</v>
      </c>
      <c r="I940" s="3" t="s">
        <v>337</v>
      </c>
      <c r="J940" s="0" t="n">
        <v>4</v>
      </c>
      <c r="K940" s="3" t="s">
        <v>21</v>
      </c>
      <c r="L940" s="0" t="str">
        <f aca="false">VLOOKUP(D940,Products!$A$2:$D$13,2,FALSE())</f>
        <v>Home</v>
      </c>
      <c r="M940" s="3" t="n">
        <f aca="false">F940*G940*(1-H940/100)</f>
        <v>398</v>
      </c>
      <c r="N940" s="0" t="str">
        <f aca="false">VLOOKUP(I940,Customers!$A$2:$D$121,3,FALSE())</f>
        <v>Lucknow</v>
      </c>
      <c r="O940" s="0" t="str">
        <f aca="false">VLOOKUP(I940,Customers!$A$2:$D$121,4,FALSE())</f>
        <v>Student</v>
      </c>
      <c r="P940" s="0" t="str">
        <f aca="false">TEXT(B940,"yyyy-mm")</f>
        <v>2025-05</v>
      </c>
    </row>
    <row r="941" customFormat="false" ht="15" hidden="false" customHeight="false" outlineLevel="0" collapsed="false">
      <c r="A941" s="0" t="s">
        <v>1107</v>
      </c>
      <c r="B941" s="2" t="n">
        <v>45764</v>
      </c>
      <c r="C941" s="3" t="s">
        <v>17</v>
      </c>
      <c r="D941" s="3" t="s">
        <v>28</v>
      </c>
      <c r="E941" s="3" t="s">
        <v>93</v>
      </c>
      <c r="F941" s="0" t="n">
        <v>2</v>
      </c>
      <c r="G941" s="0" t="n">
        <v>450</v>
      </c>
      <c r="H941" s="0" t="n">
        <v>15</v>
      </c>
      <c r="I941" s="3" t="s">
        <v>114</v>
      </c>
      <c r="J941" s="0" t="n">
        <v>4</v>
      </c>
      <c r="K941" s="3" t="s">
        <v>21</v>
      </c>
      <c r="L941" s="0" t="str">
        <f aca="false">VLOOKUP(D941,Products!$A$2:$D$13,2,FALSE())</f>
        <v>Electronics</v>
      </c>
      <c r="M941" s="3" t="n">
        <f aca="false">F941*G941*(1-H941/100)</f>
        <v>765</v>
      </c>
      <c r="N941" s="0" t="str">
        <f aca="false">VLOOKUP(I941,Customers!$A$2:$D$121,3,FALSE())</f>
        <v>Lucknow</v>
      </c>
      <c r="O941" s="0" t="str">
        <f aca="false">VLOOKUP(I941,Customers!$A$2:$D$121,4,FALSE())</f>
        <v>Retail</v>
      </c>
      <c r="P941" s="0" t="str">
        <f aca="false">TEXT(B941,"yyyy-mm")</f>
        <v>2025-04</v>
      </c>
    </row>
    <row r="942" customFormat="false" ht="15" hidden="false" customHeight="false" outlineLevel="0" collapsed="false">
      <c r="A942" s="0" t="s">
        <v>1108</v>
      </c>
      <c r="B942" s="2" t="n">
        <v>45781</v>
      </c>
      <c r="C942" s="3" t="s">
        <v>17</v>
      </c>
      <c r="D942" s="3" t="s">
        <v>37</v>
      </c>
      <c r="E942" s="3" t="s">
        <v>19</v>
      </c>
      <c r="F942" s="0" t="n">
        <v>1</v>
      </c>
      <c r="G942" s="0" t="n">
        <v>500</v>
      </c>
      <c r="H942" s="0" t="n">
        <v>0</v>
      </c>
      <c r="I942" s="3" t="s">
        <v>269</v>
      </c>
      <c r="J942" s="0" t="n">
        <v>1</v>
      </c>
      <c r="K942" s="3" t="s">
        <v>21</v>
      </c>
      <c r="L942" s="0" t="str">
        <f aca="false">VLOOKUP(D942,Products!$A$2:$D$13,2,FALSE())</f>
        <v>Electronics</v>
      </c>
      <c r="M942" s="3" t="n">
        <f aca="false">F942*G942*(1-H942/100)</f>
        <v>500</v>
      </c>
      <c r="N942" s="0" t="str">
        <f aca="false">VLOOKUP(I942,Customers!$A$2:$D$121,3,FALSE())</f>
        <v>Mumbai</v>
      </c>
      <c r="O942" s="0" t="str">
        <f aca="false">VLOOKUP(I942,Customers!$A$2:$D$121,4,FALSE())</f>
        <v>Student</v>
      </c>
      <c r="P942" s="0" t="str">
        <f aca="false">TEXT(B942,"yyyy-mm")</f>
        <v>2025-05</v>
      </c>
    </row>
    <row r="943" customFormat="false" ht="15" hidden="false" customHeight="false" outlineLevel="0" collapsed="false">
      <c r="A943" s="0" t="s">
        <v>1109</v>
      </c>
      <c r="B943" s="2" t="n">
        <v>46048</v>
      </c>
      <c r="C943" s="3" t="s">
        <v>36</v>
      </c>
      <c r="D943" s="3" t="s">
        <v>116</v>
      </c>
      <c r="E943" s="3" t="s">
        <v>38</v>
      </c>
      <c r="F943" s="0" t="n">
        <v>5</v>
      </c>
      <c r="G943" s="0" t="n">
        <v>699</v>
      </c>
      <c r="H943" s="0" t="n">
        <v>0</v>
      </c>
      <c r="I943" s="3" t="s">
        <v>178</v>
      </c>
      <c r="J943" s="0" t="n">
        <v>4</v>
      </c>
      <c r="K943" s="3" t="s">
        <v>21</v>
      </c>
      <c r="L943" s="0" t="str">
        <f aca="false">VLOOKUP(D943,Products!$A$2:$D$13,2,FALSE())</f>
        <v>Home</v>
      </c>
      <c r="M943" s="3" t="n">
        <f aca="false">F943*G943*(1-H943/100)</f>
        <v>3495</v>
      </c>
      <c r="N943" s="0" t="str">
        <f aca="false">VLOOKUP(I943,Customers!$A$2:$D$121,3,FALSE())</f>
        <v>Nagpur</v>
      </c>
      <c r="O943" s="0" t="str">
        <f aca="false">VLOOKUP(I943,Customers!$A$2:$D$121,4,FALSE())</f>
        <v>Student</v>
      </c>
      <c r="P943" s="0" t="str">
        <f aca="false">TEXT(B943,"yyyy-mm")</f>
        <v>2026-01</v>
      </c>
    </row>
    <row r="944" customFormat="false" ht="15" hidden="false" customHeight="false" outlineLevel="0" collapsed="false">
      <c r="A944" s="0" t="s">
        <v>1110</v>
      </c>
      <c r="B944" s="2" t="n">
        <v>46044</v>
      </c>
      <c r="C944" s="3" t="s">
        <v>72</v>
      </c>
      <c r="D944" s="3" t="s">
        <v>108</v>
      </c>
      <c r="E944" s="3" t="s">
        <v>89</v>
      </c>
      <c r="F944" s="0" t="n">
        <v>1</v>
      </c>
      <c r="G944" s="0" t="n">
        <v>180</v>
      </c>
      <c r="H944" s="0" t="n">
        <v>0</v>
      </c>
      <c r="I944" s="3" t="s">
        <v>135</v>
      </c>
      <c r="J944" s="0" t="n">
        <v>3</v>
      </c>
      <c r="K944" s="3" t="s">
        <v>21</v>
      </c>
      <c r="L944" s="0" t="str">
        <f aca="false">VLOOKUP(D944,Products!$A$2:$D$13,2,FALSE())</f>
        <v>Stationery</v>
      </c>
      <c r="M944" s="3" t="n">
        <f aca="false">F944*G944*(1-H944/100)</f>
        <v>180</v>
      </c>
      <c r="N944" s="0" t="str">
        <f aca="false">VLOOKUP(I944,Customers!$A$2:$D$121,3,FALSE())</f>
        <v>Jaipur</v>
      </c>
      <c r="O944" s="0" t="str">
        <f aca="false">VLOOKUP(I944,Customers!$A$2:$D$121,4,FALSE())</f>
        <v>Corporate</v>
      </c>
      <c r="P944" s="0" t="str">
        <f aca="false">TEXT(B944,"yyyy-mm")</f>
        <v>2026-01</v>
      </c>
    </row>
    <row r="945" customFormat="false" ht="15" hidden="false" customHeight="false" outlineLevel="0" collapsed="false">
      <c r="A945" s="0" t="s">
        <v>1111</v>
      </c>
      <c r="B945" s="2" t="n">
        <v>45755</v>
      </c>
      <c r="C945" s="3" t="s">
        <v>23</v>
      </c>
      <c r="D945" s="3" t="s">
        <v>45</v>
      </c>
      <c r="E945" s="3" t="s">
        <v>29</v>
      </c>
      <c r="F945" s="0" t="n">
        <v>1</v>
      </c>
      <c r="G945" s="0" t="n">
        <v>30</v>
      </c>
      <c r="H945" s="0" t="n">
        <v>10</v>
      </c>
      <c r="I945" s="3" t="s">
        <v>86</v>
      </c>
      <c r="J945" s="0" t="n">
        <v>4</v>
      </c>
      <c r="K945" s="3" t="s">
        <v>26</v>
      </c>
      <c r="L945" s="0" t="str">
        <f aca="false">VLOOKUP(D945,Products!$A$2:$D$13,2,FALSE())</f>
        <v>Stationery</v>
      </c>
      <c r="M945" s="3" t="n">
        <f aca="false">F945*G945*(1-H945/100)</f>
        <v>27</v>
      </c>
      <c r="N945" s="0" t="str">
        <f aca="false">VLOOKUP(I945,Customers!$A$2:$D$121,3,FALSE())</f>
        <v>Kolkata</v>
      </c>
      <c r="O945" s="0" t="str">
        <f aca="false">VLOOKUP(I945,Customers!$A$2:$D$121,4,FALSE())</f>
        <v>Student</v>
      </c>
      <c r="P945" s="0" t="str">
        <f aca="false">TEXT(B945,"yyyy-mm")</f>
        <v>2025-04</v>
      </c>
    </row>
    <row r="946" customFormat="false" ht="15" hidden="false" customHeight="false" outlineLevel="0" collapsed="false">
      <c r="A946" s="0" t="s">
        <v>1112</v>
      </c>
      <c r="B946" s="2" t="n">
        <v>45798</v>
      </c>
      <c r="C946" s="3" t="s">
        <v>17</v>
      </c>
      <c r="D946" s="3" t="s">
        <v>57</v>
      </c>
      <c r="E946" s="3" t="s">
        <v>93</v>
      </c>
      <c r="F946" s="0" t="n">
        <v>2</v>
      </c>
      <c r="G946" s="0" t="n">
        <v>549</v>
      </c>
      <c r="H946" s="0" t="n">
        <v>0</v>
      </c>
      <c r="I946" s="3" t="s">
        <v>79</v>
      </c>
      <c r="J946" s="0" t="n">
        <v>4</v>
      </c>
      <c r="K946" s="3" t="s">
        <v>34</v>
      </c>
      <c r="L946" s="0" t="str">
        <f aca="false">VLOOKUP(D946,Products!$A$2:$D$13,2,FALSE())</f>
        <v>Accessories</v>
      </c>
      <c r="M946" s="3" t="n">
        <f aca="false">F946*G946*(1-H946/100)</f>
        <v>1098</v>
      </c>
      <c r="N946" s="0" t="str">
        <f aca="false">VLOOKUP(I946,Customers!$A$2:$D$121,3,FALSE())</f>
        <v>Bhopal</v>
      </c>
      <c r="O946" s="0" t="str">
        <f aca="false">VLOOKUP(I946,Customers!$A$2:$D$121,4,FALSE())</f>
        <v>Retail</v>
      </c>
      <c r="P946" s="0" t="str">
        <f aca="false">TEXT(B946,"yyyy-mm")</f>
        <v>2025-05</v>
      </c>
    </row>
    <row r="947" customFormat="false" ht="15" hidden="false" customHeight="false" outlineLevel="0" collapsed="false">
      <c r="A947" s="0" t="s">
        <v>1113</v>
      </c>
      <c r="B947" s="2" t="n">
        <v>45842</v>
      </c>
      <c r="C947" s="3" t="s">
        <v>23</v>
      </c>
      <c r="D947" s="3" t="s">
        <v>48</v>
      </c>
      <c r="E947" s="3" t="s">
        <v>24</v>
      </c>
      <c r="F947" s="0" t="n">
        <v>1</v>
      </c>
      <c r="G947" s="0" t="n">
        <v>199</v>
      </c>
      <c r="H947" s="0" t="n">
        <v>5</v>
      </c>
      <c r="I947" s="3" t="s">
        <v>152</v>
      </c>
      <c r="J947" s="0" t="n">
        <v>5</v>
      </c>
      <c r="K947" s="3" t="s">
        <v>34</v>
      </c>
      <c r="L947" s="0" t="str">
        <f aca="false">VLOOKUP(D947,Products!$A$2:$D$13,2,FALSE())</f>
        <v>Home</v>
      </c>
      <c r="M947" s="3" t="n">
        <f aca="false">F947*G947*(1-H947/100)</f>
        <v>189.05</v>
      </c>
      <c r="N947" s="0" t="str">
        <f aca="false">VLOOKUP(I947,Customers!$A$2:$D$121,3,FALSE())</f>
        <v>Bhopal</v>
      </c>
      <c r="O947" s="0" t="str">
        <f aca="false">VLOOKUP(I947,Customers!$A$2:$D$121,4,FALSE())</f>
        <v>Corporate</v>
      </c>
      <c r="P947" s="0" t="str">
        <f aca="false">TEXT(B947,"yyyy-mm")</f>
        <v>2025-07</v>
      </c>
    </row>
    <row r="948" customFormat="false" ht="15" hidden="false" customHeight="false" outlineLevel="0" collapsed="false">
      <c r="A948" s="0" t="s">
        <v>1114</v>
      </c>
      <c r="B948" s="2" t="n">
        <v>45857</v>
      </c>
      <c r="C948" s="3" t="s">
        <v>51</v>
      </c>
      <c r="D948" s="3" t="s">
        <v>88</v>
      </c>
      <c r="E948" s="3" t="s">
        <v>83</v>
      </c>
      <c r="F948" s="0" t="n">
        <v>1</v>
      </c>
      <c r="G948" s="0" t="n">
        <v>799</v>
      </c>
      <c r="H948" s="0" t="n">
        <v>10</v>
      </c>
      <c r="I948" s="3" t="s">
        <v>49</v>
      </c>
      <c r="J948" s="0" t="n">
        <v>4</v>
      </c>
      <c r="K948" s="3" t="s">
        <v>21</v>
      </c>
      <c r="L948" s="0" t="str">
        <f aca="false">VLOOKUP(D948,Products!$A$2:$D$13,2,FALSE())</f>
        <v>Accessories</v>
      </c>
      <c r="M948" s="3" t="n">
        <f aca="false">F948*G948*(1-H948/100)</f>
        <v>719.1</v>
      </c>
      <c r="N948" s="0" t="str">
        <f aca="false">VLOOKUP(I948,Customers!$A$2:$D$121,3,FALSE())</f>
        <v>Indore</v>
      </c>
      <c r="O948" s="0" t="str">
        <f aca="false">VLOOKUP(I948,Customers!$A$2:$D$121,4,FALSE())</f>
        <v>Student</v>
      </c>
      <c r="P948" s="0" t="str">
        <f aca="false">TEXT(B948,"yyyy-mm")</f>
        <v>2025-07</v>
      </c>
    </row>
    <row r="949" customFormat="false" ht="15" hidden="false" customHeight="false" outlineLevel="0" collapsed="false">
      <c r="A949" s="0" t="s">
        <v>1115</v>
      </c>
      <c r="B949" s="2" t="n">
        <v>46014</v>
      </c>
      <c r="C949" s="3" t="s">
        <v>17</v>
      </c>
      <c r="D949" s="3" t="s">
        <v>32</v>
      </c>
      <c r="E949" s="3" t="s">
        <v>93</v>
      </c>
      <c r="F949" s="0" t="n">
        <v>3</v>
      </c>
      <c r="G949" s="0" t="n">
        <v>249</v>
      </c>
      <c r="H949" s="0" t="n">
        <v>0</v>
      </c>
      <c r="I949" s="3" t="s">
        <v>411</v>
      </c>
      <c r="J949" s="0" t="n">
        <v>5</v>
      </c>
      <c r="K949" s="3" t="s">
        <v>21</v>
      </c>
      <c r="L949" s="0" t="str">
        <f aca="false">VLOOKUP(D949,Products!$A$2:$D$13,2,FALSE())</f>
        <v>Accessories</v>
      </c>
      <c r="M949" s="3" t="n">
        <f aca="false">F949*G949*(1-H949/100)</f>
        <v>747</v>
      </c>
      <c r="N949" s="0" t="str">
        <f aca="false">VLOOKUP(I949,Customers!$A$2:$D$121,3,FALSE())</f>
        <v>Pune</v>
      </c>
      <c r="O949" s="0" t="str">
        <f aca="false">VLOOKUP(I949,Customers!$A$2:$D$121,4,FALSE())</f>
        <v>Corporate</v>
      </c>
      <c r="P949" s="0" t="str">
        <f aca="false">TEXT(B949,"yyyy-mm")</f>
        <v>2025-12</v>
      </c>
    </row>
    <row r="950" customFormat="false" ht="15" hidden="false" customHeight="false" outlineLevel="0" collapsed="false">
      <c r="A950" s="0" t="s">
        <v>1116</v>
      </c>
      <c r="B950" s="2" t="n">
        <v>46000</v>
      </c>
      <c r="C950" s="3" t="s">
        <v>72</v>
      </c>
      <c r="D950" s="3" t="s">
        <v>45</v>
      </c>
      <c r="E950" s="3" t="s">
        <v>73</v>
      </c>
      <c r="F950" s="0" t="n">
        <v>1</v>
      </c>
      <c r="G950" s="0" t="n">
        <v>30</v>
      </c>
      <c r="H950" s="0" t="n">
        <v>0</v>
      </c>
      <c r="I950" s="3" t="s">
        <v>536</v>
      </c>
      <c r="J950" s="0" t="n">
        <v>3</v>
      </c>
      <c r="K950" s="3" t="s">
        <v>43</v>
      </c>
      <c r="L950" s="0" t="str">
        <f aca="false">VLOOKUP(D950,Products!$A$2:$D$13,2,FALSE())</f>
        <v>Stationery</v>
      </c>
      <c r="M950" s="3" t="n">
        <f aca="false">F950*G950*(1-H950/100)</f>
        <v>30</v>
      </c>
      <c r="N950" s="0" t="str">
        <f aca="false">VLOOKUP(I950,Customers!$A$2:$D$121,3,FALSE())</f>
        <v>Chennai</v>
      </c>
      <c r="O950" s="0" t="str">
        <f aca="false">VLOOKUP(I950,Customers!$A$2:$D$121,4,FALSE())</f>
        <v>Student</v>
      </c>
      <c r="P950" s="0" t="str">
        <f aca="false">TEXT(B950,"yyyy-mm")</f>
        <v>2025-12</v>
      </c>
    </row>
    <row r="951" customFormat="false" ht="15" hidden="false" customHeight="false" outlineLevel="0" collapsed="false">
      <c r="A951" s="0" t="s">
        <v>1117</v>
      </c>
      <c r="B951" s="2" t="n">
        <v>45956</v>
      </c>
      <c r="C951" s="3" t="s">
        <v>23</v>
      </c>
      <c r="D951" s="3" t="s">
        <v>28</v>
      </c>
      <c r="E951" s="3" t="s">
        <v>24</v>
      </c>
      <c r="F951" s="0" t="n">
        <v>2</v>
      </c>
      <c r="G951" s="0" t="n">
        <v>450</v>
      </c>
      <c r="H951" s="0" t="n">
        <v>0</v>
      </c>
      <c r="I951" s="3" t="s">
        <v>174</v>
      </c>
      <c r="J951" s="0" t="n">
        <v>4</v>
      </c>
      <c r="K951" s="3" t="s">
        <v>43</v>
      </c>
      <c r="L951" s="0" t="str">
        <f aca="false">VLOOKUP(D951,Products!$A$2:$D$13,2,FALSE())</f>
        <v>Electronics</v>
      </c>
      <c r="M951" s="3" t="n">
        <f aca="false">F951*G951*(1-H951/100)</f>
        <v>900</v>
      </c>
      <c r="N951" s="0" t="str">
        <f aca="false">VLOOKUP(I951,Customers!$A$2:$D$121,3,FALSE())</f>
        <v>Lucknow</v>
      </c>
      <c r="O951" s="0" t="str">
        <f aca="false">VLOOKUP(I951,Customers!$A$2:$D$121,4,FALSE())</f>
        <v>Student</v>
      </c>
      <c r="P951" s="0" t="str">
        <f aca="false">TEXT(B951,"yyyy-mm")</f>
        <v>2025-10</v>
      </c>
    </row>
    <row r="952" customFormat="false" ht="15" hidden="false" customHeight="false" outlineLevel="0" collapsed="false">
      <c r="A952" s="0" t="s">
        <v>1118</v>
      </c>
      <c r="B952" s="2" t="n">
        <v>45839</v>
      </c>
      <c r="C952" s="3" t="s">
        <v>72</v>
      </c>
      <c r="D952" s="3" t="s">
        <v>18</v>
      </c>
      <c r="E952" s="3" t="s">
        <v>89</v>
      </c>
      <c r="F952" s="0" t="n">
        <v>1</v>
      </c>
      <c r="G952" s="0" t="n">
        <v>349</v>
      </c>
      <c r="H952" s="0" t="n">
        <v>0</v>
      </c>
      <c r="I952" s="3" t="s">
        <v>152</v>
      </c>
      <c r="J952" s="0" t="n">
        <v>4</v>
      </c>
      <c r="K952" s="3" t="s">
        <v>43</v>
      </c>
      <c r="L952" s="0" t="str">
        <f aca="false">VLOOKUP(D952,Products!$A$2:$D$13,2,FALSE())</f>
        <v>Home</v>
      </c>
      <c r="M952" s="3" t="n">
        <f aca="false">F952*G952*(1-H952/100)</f>
        <v>349</v>
      </c>
      <c r="N952" s="0" t="str">
        <f aca="false">VLOOKUP(I952,Customers!$A$2:$D$121,3,FALSE())</f>
        <v>Bhopal</v>
      </c>
      <c r="O952" s="0" t="str">
        <f aca="false">VLOOKUP(I952,Customers!$A$2:$D$121,4,FALSE())</f>
        <v>Corporate</v>
      </c>
      <c r="P952" s="0" t="str">
        <f aca="false">TEXT(B952,"yyyy-mm")</f>
        <v>2025-07</v>
      </c>
    </row>
    <row r="953" customFormat="false" ht="15" hidden="false" customHeight="false" outlineLevel="0" collapsed="false">
      <c r="A953" s="0" t="s">
        <v>1119</v>
      </c>
      <c r="B953" s="2" t="n">
        <v>46085</v>
      </c>
      <c r="C953" s="3" t="s">
        <v>23</v>
      </c>
      <c r="D953" s="3" t="s">
        <v>32</v>
      </c>
      <c r="E953" s="3" t="s">
        <v>29</v>
      </c>
      <c r="F953" s="0" t="n">
        <v>1</v>
      </c>
      <c r="G953" s="0" t="n">
        <v>249</v>
      </c>
      <c r="H953" s="0" t="n">
        <v>15</v>
      </c>
      <c r="I953" s="3" t="s">
        <v>324</v>
      </c>
      <c r="J953" s="0" t="n">
        <v>2</v>
      </c>
      <c r="K953" s="3" t="s">
        <v>43</v>
      </c>
      <c r="L953" s="0" t="str">
        <f aca="false">VLOOKUP(D953,Products!$A$2:$D$13,2,FALSE())</f>
        <v>Accessories</v>
      </c>
      <c r="M953" s="3" t="n">
        <f aca="false">F953*G953*(1-H953/100)</f>
        <v>211.65</v>
      </c>
      <c r="N953" s="0" t="str">
        <f aca="false">VLOOKUP(I953,Customers!$A$2:$D$121,3,FALSE())</f>
        <v>Bhopal</v>
      </c>
      <c r="O953" s="0" t="str">
        <f aca="false">VLOOKUP(I953,Customers!$A$2:$D$121,4,FALSE())</f>
        <v>Retail</v>
      </c>
      <c r="P953" s="0" t="str">
        <f aca="false">TEXT(B953,"yyyy-mm")</f>
        <v>2026-03</v>
      </c>
    </row>
    <row r="954" customFormat="false" ht="15" hidden="false" customHeight="false" outlineLevel="0" collapsed="false">
      <c r="A954" s="0" t="s">
        <v>1120</v>
      </c>
      <c r="B954" s="2" t="n">
        <v>45800</v>
      </c>
      <c r="C954" s="3" t="s">
        <v>23</v>
      </c>
      <c r="D954" s="3" t="s">
        <v>48</v>
      </c>
      <c r="E954" s="3" t="s">
        <v>24</v>
      </c>
      <c r="F954" s="0" t="n">
        <v>1</v>
      </c>
      <c r="G954" s="0" t="n">
        <v>199</v>
      </c>
      <c r="H954" s="0" t="n">
        <v>15</v>
      </c>
      <c r="I954" s="3" t="s">
        <v>110</v>
      </c>
      <c r="J954" s="0" t="n">
        <v>5</v>
      </c>
      <c r="K954" s="3" t="s">
        <v>21</v>
      </c>
      <c r="L954" s="0" t="str">
        <f aca="false">VLOOKUP(D954,Products!$A$2:$D$13,2,FALSE())</f>
        <v>Home</v>
      </c>
      <c r="M954" s="3" t="n">
        <f aca="false">F954*G954*(1-H954/100)</f>
        <v>169.15</v>
      </c>
      <c r="N954" s="0" t="str">
        <f aca="false">VLOOKUP(I954,Customers!$A$2:$D$121,3,FALSE())</f>
        <v>Pune</v>
      </c>
      <c r="O954" s="0" t="str">
        <f aca="false">VLOOKUP(I954,Customers!$A$2:$D$121,4,FALSE())</f>
        <v>Retail</v>
      </c>
      <c r="P954" s="0" t="str">
        <f aca="false">TEXT(B954,"yyyy-mm")</f>
        <v>2025-05</v>
      </c>
    </row>
    <row r="955" customFormat="false" ht="15" hidden="false" customHeight="false" outlineLevel="0" collapsed="false">
      <c r="A955" s="0" t="s">
        <v>1121</v>
      </c>
      <c r="B955" s="2" t="n">
        <v>45921</v>
      </c>
      <c r="C955" s="3" t="s">
        <v>36</v>
      </c>
      <c r="D955" s="3" t="s">
        <v>41</v>
      </c>
      <c r="E955" s="3" t="s">
        <v>69</v>
      </c>
      <c r="F955" s="0" t="n">
        <v>1</v>
      </c>
      <c r="G955" s="0" t="n">
        <v>399</v>
      </c>
      <c r="H955" s="0" t="n">
        <v>0</v>
      </c>
      <c r="I955" s="3" t="s">
        <v>70</v>
      </c>
      <c r="J955" s="0" t="n">
        <v>5</v>
      </c>
      <c r="K955" s="3" t="s">
        <v>21</v>
      </c>
      <c r="L955" s="0" t="str">
        <f aca="false">VLOOKUP(D955,Products!$A$2:$D$13,2,FALSE())</f>
        <v>Electronics</v>
      </c>
      <c r="M955" s="3" t="n">
        <f aca="false">F955*G955*(1-H955/100)</f>
        <v>399</v>
      </c>
      <c r="N955" s="0" t="str">
        <f aca="false">VLOOKUP(I955,Customers!$A$2:$D$121,3,FALSE())</f>
        <v>Bhopal</v>
      </c>
      <c r="O955" s="0" t="str">
        <f aca="false">VLOOKUP(I955,Customers!$A$2:$D$121,4,FALSE())</f>
        <v>Retail</v>
      </c>
      <c r="P955" s="0" t="str">
        <f aca="false">TEXT(B955,"yyyy-mm")</f>
        <v>2025-09</v>
      </c>
    </row>
    <row r="956" customFormat="false" ht="15" hidden="false" customHeight="false" outlineLevel="0" collapsed="false">
      <c r="A956" s="0" t="s">
        <v>1122</v>
      </c>
      <c r="B956" s="2" t="n">
        <v>46003</v>
      </c>
      <c r="C956" s="3" t="s">
        <v>51</v>
      </c>
      <c r="D956" s="3" t="s">
        <v>28</v>
      </c>
      <c r="E956" s="3" t="s">
        <v>83</v>
      </c>
      <c r="F956" s="0" t="n">
        <v>3</v>
      </c>
      <c r="G956" s="0" t="n">
        <v>450</v>
      </c>
      <c r="H956" s="0" t="n">
        <v>0</v>
      </c>
      <c r="I956" s="3" t="s">
        <v>33</v>
      </c>
      <c r="J956" s="0" t="n">
        <v>4</v>
      </c>
      <c r="K956" s="3" t="s">
        <v>43</v>
      </c>
      <c r="L956" s="0" t="str">
        <f aca="false">VLOOKUP(D956,Products!$A$2:$D$13,2,FALSE())</f>
        <v>Electronics</v>
      </c>
      <c r="M956" s="3" t="n">
        <f aca="false">F956*G956*(1-H956/100)</f>
        <v>1350</v>
      </c>
      <c r="N956" s="0" t="str">
        <f aca="false">VLOOKUP(I956,Customers!$A$2:$D$121,3,FALSE())</f>
        <v>Indore</v>
      </c>
      <c r="O956" s="0" t="str">
        <f aca="false">VLOOKUP(I956,Customers!$A$2:$D$121,4,FALSE())</f>
        <v>Corporate</v>
      </c>
      <c r="P956" s="0" t="str">
        <f aca="false">TEXT(B956,"yyyy-mm")</f>
        <v>2025-12</v>
      </c>
    </row>
    <row r="957" customFormat="false" ht="15" hidden="false" customHeight="false" outlineLevel="0" collapsed="false">
      <c r="A957" s="0" t="s">
        <v>1123</v>
      </c>
      <c r="B957" s="2" t="n">
        <v>46089</v>
      </c>
      <c r="C957" s="3" t="s">
        <v>51</v>
      </c>
      <c r="D957" s="3" t="s">
        <v>41</v>
      </c>
      <c r="E957" s="3" t="s">
        <v>83</v>
      </c>
      <c r="F957" s="0" t="n">
        <v>1</v>
      </c>
      <c r="G957" s="0" t="n">
        <v>399</v>
      </c>
      <c r="H957" s="0" t="n">
        <v>10</v>
      </c>
      <c r="I957" s="3" t="s">
        <v>61</v>
      </c>
      <c r="J957" s="0" t="n">
        <v>5</v>
      </c>
      <c r="K957" s="3" t="s">
        <v>26</v>
      </c>
      <c r="L957" s="0" t="str">
        <f aca="false">VLOOKUP(D957,Products!$A$2:$D$13,2,FALSE())</f>
        <v>Electronics</v>
      </c>
      <c r="M957" s="3" t="n">
        <f aca="false">F957*G957*(1-H957/100)</f>
        <v>359.1</v>
      </c>
      <c r="N957" s="0" t="str">
        <f aca="false">VLOOKUP(I957,Customers!$A$2:$D$121,3,FALSE())</f>
        <v>Delhi</v>
      </c>
      <c r="O957" s="0" t="str">
        <f aca="false">VLOOKUP(I957,Customers!$A$2:$D$121,4,FALSE())</f>
        <v>Retail</v>
      </c>
      <c r="P957" s="0" t="str">
        <f aca="false">TEXT(B957,"yyyy-mm")</f>
        <v>2026-03</v>
      </c>
    </row>
    <row r="958" customFormat="false" ht="15" hidden="false" customHeight="false" outlineLevel="0" collapsed="false">
      <c r="A958" s="0" t="s">
        <v>1124</v>
      </c>
      <c r="B958" s="2" t="n">
        <v>45810</v>
      </c>
      <c r="C958" s="3" t="s">
        <v>17</v>
      </c>
      <c r="D958" s="3" t="s">
        <v>32</v>
      </c>
      <c r="E958" s="3" t="s">
        <v>19</v>
      </c>
      <c r="F958" s="0" t="n">
        <v>2</v>
      </c>
      <c r="G958" s="0" t="n">
        <v>249</v>
      </c>
      <c r="H958" s="0" t="n">
        <v>0</v>
      </c>
      <c r="I958" s="3" t="s">
        <v>96</v>
      </c>
      <c r="J958" s="0" t="n">
        <v>4</v>
      </c>
      <c r="K958" s="3" t="s">
        <v>21</v>
      </c>
      <c r="L958" s="0" t="str">
        <f aca="false">VLOOKUP(D958,Products!$A$2:$D$13,2,FALSE())</f>
        <v>Accessories</v>
      </c>
      <c r="M958" s="3" t="n">
        <f aca="false">F958*G958*(1-H958/100)</f>
        <v>498</v>
      </c>
      <c r="N958" s="0" t="str">
        <f aca="false">VLOOKUP(I958,Customers!$A$2:$D$121,3,FALSE())</f>
        <v>Delhi</v>
      </c>
      <c r="O958" s="0" t="str">
        <f aca="false">VLOOKUP(I958,Customers!$A$2:$D$121,4,FALSE())</f>
        <v>Retail</v>
      </c>
      <c r="P958" s="0" t="str">
        <f aca="false">TEXT(B958,"yyyy-mm")</f>
        <v>2025-06</v>
      </c>
    </row>
    <row r="959" customFormat="false" ht="15" hidden="false" customHeight="false" outlineLevel="0" collapsed="false">
      <c r="A959" s="0" t="s">
        <v>1125</v>
      </c>
      <c r="B959" s="2" t="n">
        <v>45782</v>
      </c>
      <c r="C959" s="3" t="s">
        <v>17</v>
      </c>
      <c r="D959" s="3" t="s">
        <v>45</v>
      </c>
      <c r="E959" s="3" t="s">
        <v>19</v>
      </c>
      <c r="F959" s="0" t="n">
        <v>2</v>
      </c>
      <c r="G959" s="0" t="n">
        <v>30</v>
      </c>
      <c r="H959" s="0" t="n">
        <v>5</v>
      </c>
      <c r="I959" s="3" t="s">
        <v>152</v>
      </c>
      <c r="J959" s="0" t="n">
        <v>1</v>
      </c>
      <c r="K959" s="3" t="s">
        <v>43</v>
      </c>
      <c r="L959" s="0" t="str">
        <f aca="false">VLOOKUP(D959,Products!$A$2:$D$13,2,FALSE())</f>
        <v>Stationery</v>
      </c>
      <c r="M959" s="3" t="n">
        <f aca="false">F959*G959*(1-H959/100)</f>
        <v>57</v>
      </c>
      <c r="N959" s="0" t="str">
        <f aca="false">VLOOKUP(I959,Customers!$A$2:$D$121,3,FALSE())</f>
        <v>Bhopal</v>
      </c>
      <c r="O959" s="0" t="str">
        <f aca="false">VLOOKUP(I959,Customers!$A$2:$D$121,4,FALSE())</f>
        <v>Corporate</v>
      </c>
      <c r="P959" s="0" t="str">
        <f aca="false">TEXT(B959,"yyyy-mm")</f>
        <v>2025-05</v>
      </c>
    </row>
    <row r="960" customFormat="false" ht="15" hidden="false" customHeight="false" outlineLevel="0" collapsed="false">
      <c r="A960" s="0" t="s">
        <v>1126</v>
      </c>
      <c r="B960" s="2" t="n">
        <v>45826</v>
      </c>
      <c r="C960" s="3" t="s">
        <v>72</v>
      </c>
      <c r="D960" s="3" t="s">
        <v>116</v>
      </c>
      <c r="E960" s="3" t="s">
        <v>89</v>
      </c>
      <c r="F960" s="0" t="n">
        <v>2</v>
      </c>
      <c r="G960" s="0" t="n">
        <v>699</v>
      </c>
      <c r="H960" s="0" t="n">
        <v>0</v>
      </c>
      <c r="I960" s="3" t="s">
        <v>46</v>
      </c>
      <c r="J960" s="0" t="n">
        <v>4</v>
      </c>
      <c r="K960" s="3" t="s">
        <v>43</v>
      </c>
      <c r="L960" s="0" t="str">
        <f aca="false">VLOOKUP(D960,Products!$A$2:$D$13,2,FALSE())</f>
        <v>Home</v>
      </c>
      <c r="M960" s="3" t="n">
        <f aca="false">F960*G960*(1-H960/100)</f>
        <v>1398</v>
      </c>
      <c r="N960" s="0" t="str">
        <f aca="false">VLOOKUP(I960,Customers!$A$2:$D$121,3,FALSE())</f>
        <v>Indore</v>
      </c>
      <c r="O960" s="0" t="str">
        <f aca="false">VLOOKUP(I960,Customers!$A$2:$D$121,4,FALSE())</f>
        <v>Student</v>
      </c>
      <c r="P960" s="0" t="str">
        <f aca="false">TEXT(B960,"yyyy-mm")</f>
        <v>2025-06</v>
      </c>
    </row>
    <row r="961" customFormat="false" ht="15" hidden="false" customHeight="false" outlineLevel="0" collapsed="false">
      <c r="A961" s="0" t="s">
        <v>1127</v>
      </c>
      <c r="B961" s="2" t="n">
        <v>45898</v>
      </c>
      <c r="C961" s="3" t="s">
        <v>36</v>
      </c>
      <c r="D961" s="3" t="s">
        <v>32</v>
      </c>
      <c r="E961" s="3" t="s">
        <v>69</v>
      </c>
      <c r="F961" s="0" t="n">
        <v>5</v>
      </c>
      <c r="G961" s="0" t="n">
        <v>249</v>
      </c>
      <c r="H961" s="0" t="n">
        <v>15</v>
      </c>
      <c r="I961" s="3" t="s">
        <v>411</v>
      </c>
      <c r="J961" s="0" t="n">
        <v>4</v>
      </c>
      <c r="K961" s="3" t="s">
        <v>34</v>
      </c>
      <c r="L961" s="0" t="str">
        <f aca="false">VLOOKUP(D961,Products!$A$2:$D$13,2,FALSE())</f>
        <v>Accessories</v>
      </c>
      <c r="M961" s="3" t="n">
        <f aca="false">F961*G961*(1-H961/100)</f>
        <v>1058.25</v>
      </c>
      <c r="N961" s="0" t="str">
        <f aca="false">VLOOKUP(I961,Customers!$A$2:$D$121,3,FALSE())</f>
        <v>Pune</v>
      </c>
      <c r="O961" s="0" t="str">
        <f aca="false">VLOOKUP(I961,Customers!$A$2:$D$121,4,FALSE())</f>
        <v>Corporate</v>
      </c>
      <c r="P961" s="0" t="str">
        <f aca="false">TEXT(B961,"yyyy-mm")</f>
        <v>2025-08</v>
      </c>
    </row>
    <row r="962" customFormat="false" ht="15" hidden="false" customHeight="false" outlineLevel="0" collapsed="false">
      <c r="A962" s="0" t="s">
        <v>1128</v>
      </c>
      <c r="B962" s="2" t="n">
        <v>45757</v>
      </c>
      <c r="C962" s="3" t="s">
        <v>23</v>
      </c>
      <c r="D962" s="3" t="s">
        <v>57</v>
      </c>
      <c r="E962" s="3" t="s">
        <v>24</v>
      </c>
      <c r="F962" s="0" t="n">
        <v>3</v>
      </c>
      <c r="G962" s="0" t="n">
        <v>549</v>
      </c>
      <c r="H962" s="0" t="n">
        <v>0</v>
      </c>
      <c r="I962" s="3" t="s">
        <v>489</v>
      </c>
      <c r="J962" s="0" t="n">
        <v>5</v>
      </c>
      <c r="K962" s="3" t="s">
        <v>43</v>
      </c>
      <c r="L962" s="0" t="str">
        <f aca="false">VLOOKUP(D962,Products!$A$2:$D$13,2,FALSE())</f>
        <v>Accessories</v>
      </c>
      <c r="M962" s="3" t="n">
        <f aca="false">F962*G962*(1-H962/100)</f>
        <v>1647</v>
      </c>
      <c r="N962" s="0" t="str">
        <f aca="false">VLOOKUP(I962,Customers!$A$2:$D$121,3,FALSE())</f>
        <v>Kolkata</v>
      </c>
      <c r="O962" s="0" t="str">
        <f aca="false">VLOOKUP(I962,Customers!$A$2:$D$121,4,FALSE())</f>
        <v>Retail</v>
      </c>
      <c r="P962" s="0" t="str">
        <f aca="false">TEXT(B962,"yyyy-mm")</f>
        <v>2025-04</v>
      </c>
    </row>
    <row r="963" customFormat="false" ht="15" hidden="false" customHeight="false" outlineLevel="0" collapsed="false">
      <c r="A963" s="0" t="s">
        <v>1129</v>
      </c>
      <c r="B963" s="2" t="n">
        <v>45940</v>
      </c>
      <c r="C963" s="3" t="s">
        <v>72</v>
      </c>
      <c r="D963" s="3" t="s">
        <v>32</v>
      </c>
      <c r="E963" s="3" t="s">
        <v>89</v>
      </c>
      <c r="F963" s="0" t="n">
        <v>1</v>
      </c>
      <c r="G963" s="0" t="n">
        <v>249</v>
      </c>
      <c r="H963" s="0" t="n">
        <v>5</v>
      </c>
      <c r="I963" s="3" t="s">
        <v>63</v>
      </c>
      <c r="J963" s="0" t="n">
        <v>1</v>
      </c>
      <c r="K963" s="3" t="s">
        <v>34</v>
      </c>
      <c r="L963" s="0" t="str">
        <f aca="false">VLOOKUP(D963,Products!$A$2:$D$13,2,FALSE())</f>
        <v>Accessories</v>
      </c>
      <c r="M963" s="3" t="n">
        <f aca="false">F963*G963*(1-H963/100)</f>
        <v>236.55</v>
      </c>
      <c r="N963" s="0" t="str">
        <f aca="false">VLOOKUP(I963,Customers!$A$2:$D$121,3,FALSE())</f>
        <v>Indore</v>
      </c>
      <c r="O963" s="0" t="str">
        <f aca="false">VLOOKUP(I963,Customers!$A$2:$D$121,4,FALSE())</f>
        <v>Student</v>
      </c>
      <c r="P963" s="0" t="str">
        <f aca="false">TEXT(B963,"yyyy-mm")</f>
        <v>2025-10</v>
      </c>
    </row>
    <row r="964" customFormat="false" ht="15" hidden="false" customHeight="false" outlineLevel="0" collapsed="false">
      <c r="A964" s="0" t="s">
        <v>1130</v>
      </c>
      <c r="B964" s="2" t="n">
        <v>45999</v>
      </c>
      <c r="C964" s="3" t="s">
        <v>36</v>
      </c>
      <c r="D964" s="3" t="s">
        <v>48</v>
      </c>
      <c r="E964" s="3" t="s">
        <v>69</v>
      </c>
      <c r="F964" s="0" t="n">
        <v>1</v>
      </c>
      <c r="G964" s="0" t="n">
        <v>199</v>
      </c>
      <c r="H964" s="0" t="n">
        <v>5</v>
      </c>
      <c r="I964" s="3" t="s">
        <v>291</v>
      </c>
      <c r="J964" s="0" t="n">
        <v>3</v>
      </c>
      <c r="K964" s="3" t="s">
        <v>43</v>
      </c>
      <c r="L964" s="0" t="str">
        <f aca="false">VLOOKUP(D964,Products!$A$2:$D$13,2,FALSE())</f>
        <v>Home</v>
      </c>
      <c r="M964" s="3" t="n">
        <f aca="false">F964*G964*(1-H964/100)</f>
        <v>189.05</v>
      </c>
      <c r="N964" s="0" t="str">
        <f aca="false">VLOOKUP(I964,Customers!$A$2:$D$121,3,FALSE())</f>
        <v>Pune</v>
      </c>
      <c r="O964" s="0" t="str">
        <f aca="false">VLOOKUP(I964,Customers!$A$2:$D$121,4,FALSE())</f>
        <v>Retail</v>
      </c>
      <c r="P964" s="0" t="str">
        <f aca="false">TEXT(B964,"yyyy-mm")</f>
        <v>2025-12</v>
      </c>
    </row>
    <row r="965" customFormat="false" ht="15" hidden="false" customHeight="false" outlineLevel="0" collapsed="false">
      <c r="A965" s="0" t="s">
        <v>1131</v>
      </c>
      <c r="B965" s="2" t="n">
        <v>46093</v>
      </c>
      <c r="C965" s="3" t="s">
        <v>23</v>
      </c>
      <c r="D965" s="3" t="s">
        <v>45</v>
      </c>
      <c r="E965" s="3" t="s">
        <v>29</v>
      </c>
      <c r="F965" s="0" t="n">
        <v>1</v>
      </c>
      <c r="G965" s="0" t="n">
        <v>30</v>
      </c>
      <c r="H965" s="0" t="n">
        <v>5</v>
      </c>
      <c r="I965" s="3" t="s">
        <v>251</v>
      </c>
      <c r="J965" s="0" t="n">
        <v>4</v>
      </c>
      <c r="K965" s="3" t="s">
        <v>43</v>
      </c>
      <c r="L965" s="0" t="str">
        <f aca="false">VLOOKUP(D965,Products!$A$2:$D$13,2,FALSE())</f>
        <v>Stationery</v>
      </c>
      <c r="M965" s="3" t="n">
        <f aca="false">F965*G965*(1-H965/100)</f>
        <v>28.5</v>
      </c>
      <c r="N965" s="0" t="str">
        <f aca="false">VLOOKUP(I965,Customers!$A$2:$D$121,3,FALSE())</f>
        <v>Indore</v>
      </c>
      <c r="O965" s="0" t="str">
        <f aca="false">VLOOKUP(I965,Customers!$A$2:$D$121,4,FALSE())</f>
        <v>Student</v>
      </c>
      <c r="P965" s="0" t="str">
        <f aca="false">TEXT(B965,"yyyy-mm")</f>
        <v>2026-03</v>
      </c>
    </row>
    <row r="966" customFormat="false" ht="15" hidden="false" customHeight="false" outlineLevel="0" collapsed="false">
      <c r="A966" s="0" t="s">
        <v>1132</v>
      </c>
      <c r="B966" s="2" t="n">
        <v>46007</v>
      </c>
      <c r="C966" s="3" t="s">
        <v>36</v>
      </c>
      <c r="D966" s="3" t="s">
        <v>57</v>
      </c>
      <c r="E966" s="3" t="s">
        <v>69</v>
      </c>
      <c r="F966" s="0" t="n">
        <v>2</v>
      </c>
      <c r="G966" s="0" t="n">
        <v>549</v>
      </c>
      <c r="H966" s="0" t="n">
        <v>0</v>
      </c>
      <c r="I966" s="3" t="s">
        <v>120</v>
      </c>
      <c r="J966" s="0" t="n">
        <v>3</v>
      </c>
      <c r="K966" s="3" t="s">
        <v>34</v>
      </c>
      <c r="L966" s="0" t="str">
        <f aca="false">VLOOKUP(D966,Products!$A$2:$D$13,2,FALSE())</f>
        <v>Accessories</v>
      </c>
      <c r="M966" s="3" t="n">
        <f aca="false">F966*G966*(1-H966/100)</f>
        <v>1098</v>
      </c>
      <c r="N966" s="0" t="str">
        <f aca="false">VLOOKUP(I966,Customers!$A$2:$D$121,3,FALSE())</f>
        <v>Bhopal</v>
      </c>
      <c r="O966" s="0" t="str">
        <f aca="false">VLOOKUP(I966,Customers!$A$2:$D$121,4,FALSE())</f>
        <v>Retail</v>
      </c>
      <c r="P966" s="0" t="str">
        <f aca="false">TEXT(B966,"yyyy-mm")</f>
        <v>2025-12</v>
      </c>
    </row>
    <row r="967" customFormat="false" ht="15" hidden="false" customHeight="false" outlineLevel="0" collapsed="false">
      <c r="A967" s="0" t="s">
        <v>1133</v>
      </c>
      <c r="B967" s="2" t="n">
        <v>45779</v>
      </c>
      <c r="C967" s="3" t="s">
        <v>72</v>
      </c>
      <c r="D967" s="3" t="s">
        <v>37</v>
      </c>
      <c r="E967" s="3" t="s">
        <v>73</v>
      </c>
      <c r="F967" s="0" t="n">
        <v>1</v>
      </c>
      <c r="G967" s="0" t="n">
        <v>500</v>
      </c>
      <c r="H967" s="0" t="n">
        <v>0</v>
      </c>
      <c r="I967" s="3" t="s">
        <v>335</v>
      </c>
      <c r="J967" s="0" t="n">
        <v>1</v>
      </c>
      <c r="K967" s="3" t="s">
        <v>34</v>
      </c>
      <c r="L967" s="0" t="str">
        <f aca="false">VLOOKUP(D967,Products!$A$2:$D$13,2,FALSE())</f>
        <v>Electronics</v>
      </c>
      <c r="M967" s="3" t="n">
        <f aca="false">F967*G967*(1-H967/100)</f>
        <v>500</v>
      </c>
      <c r="N967" s="0" t="str">
        <f aca="false">VLOOKUP(I967,Customers!$A$2:$D$121,3,FALSE())</f>
        <v>Bhopal</v>
      </c>
      <c r="O967" s="0" t="str">
        <f aca="false">VLOOKUP(I967,Customers!$A$2:$D$121,4,FALSE())</f>
        <v>Retail</v>
      </c>
      <c r="P967" s="0" t="str">
        <f aca="false">TEXT(B967,"yyyy-mm")</f>
        <v>2025-05</v>
      </c>
    </row>
    <row r="968" customFormat="false" ht="15" hidden="false" customHeight="false" outlineLevel="0" collapsed="false">
      <c r="A968" s="0" t="s">
        <v>1134</v>
      </c>
      <c r="B968" s="2" t="n">
        <v>45761</v>
      </c>
      <c r="C968" s="3" t="s">
        <v>23</v>
      </c>
      <c r="D968" s="3" t="s">
        <v>48</v>
      </c>
      <c r="E968" s="3" t="s">
        <v>29</v>
      </c>
      <c r="F968" s="0" t="n">
        <v>2</v>
      </c>
      <c r="G968" s="0" t="n">
        <v>199</v>
      </c>
      <c r="H968" s="0" t="n">
        <v>15</v>
      </c>
      <c r="I968" s="3" t="s">
        <v>309</v>
      </c>
      <c r="J968" s="0" t="n">
        <v>4</v>
      </c>
      <c r="K968" s="3" t="s">
        <v>34</v>
      </c>
      <c r="L968" s="0" t="str">
        <f aca="false">VLOOKUP(D968,Products!$A$2:$D$13,2,FALSE())</f>
        <v>Home</v>
      </c>
      <c r="M968" s="3" t="n">
        <f aca="false">F968*G968*(1-H968/100)</f>
        <v>338.3</v>
      </c>
      <c r="N968" s="0" t="str">
        <f aca="false">VLOOKUP(I968,Customers!$A$2:$D$121,3,FALSE())</f>
        <v>Delhi</v>
      </c>
      <c r="O968" s="0" t="str">
        <f aca="false">VLOOKUP(I968,Customers!$A$2:$D$121,4,FALSE())</f>
        <v>Student</v>
      </c>
      <c r="P968" s="0" t="str">
        <f aca="false">TEXT(B968,"yyyy-mm")</f>
        <v>2025-04</v>
      </c>
    </row>
    <row r="969" customFormat="false" ht="15" hidden="false" customHeight="false" outlineLevel="0" collapsed="false">
      <c r="A969" s="0" t="s">
        <v>1135</v>
      </c>
      <c r="B969" s="2" t="n">
        <v>45927</v>
      </c>
      <c r="C969" s="3" t="s">
        <v>51</v>
      </c>
      <c r="D969" s="3" t="s">
        <v>41</v>
      </c>
      <c r="E969" s="3" t="s">
        <v>52</v>
      </c>
      <c r="F969" s="0" t="n">
        <v>2</v>
      </c>
      <c r="G969" s="0" t="n">
        <v>399</v>
      </c>
      <c r="H969" s="0" t="n">
        <v>0</v>
      </c>
      <c r="I969" s="3" t="s">
        <v>251</v>
      </c>
      <c r="J969" s="0" t="n">
        <v>3</v>
      </c>
      <c r="K969" s="3" t="s">
        <v>34</v>
      </c>
      <c r="L969" s="0" t="str">
        <f aca="false">VLOOKUP(D969,Products!$A$2:$D$13,2,FALSE())</f>
        <v>Electronics</v>
      </c>
      <c r="M969" s="3" t="n">
        <f aca="false">F969*G969*(1-H969/100)</f>
        <v>798</v>
      </c>
      <c r="N969" s="0" t="str">
        <f aca="false">VLOOKUP(I969,Customers!$A$2:$D$121,3,FALSE())</f>
        <v>Indore</v>
      </c>
      <c r="O969" s="0" t="str">
        <f aca="false">VLOOKUP(I969,Customers!$A$2:$D$121,4,FALSE())</f>
        <v>Student</v>
      </c>
      <c r="P969" s="0" t="str">
        <f aca="false">TEXT(B969,"yyyy-mm")</f>
        <v>2025-09</v>
      </c>
    </row>
    <row r="970" customFormat="false" ht="15" hidden="false" customHeight="false" outlineLevel="0" collapsed="false">
      <c r="A970" s="0" t="s">
        <v>1136</v>
      </c>
      <c r="B970" s="2" t="n">
        <v>46100</v>
      </c>
      <c r="C970" s="3" t="s">
        <v>17</v>
      </c>
      <c r="D970" s="3" t="s">
        <v>116</v>
      </c>
      <c r="E970" s="3" t="s">
        <v>93</v>
      </c>
      <c r="F970" s="0" t="n">
        <v>1</v>
      </c>
      <c r="G970" s="0" t="n">
        <v>699</v>
      </c>
      <c r="H970" s="0" t="n">
        <v>0</v>
      </c>
      <c r="I970" s="3" t="s">
        <v>264</v>
      </c>
      <c r="J970" s="0" t="n">
        <v>3</v>
      </c>
      <c r="K970" s="3" t="s">
        <v>26</v>
      </c>
      <c r="L970" s="0" t="str">
        <f aca="false">VLOOKUP(D970,Products!$A$2:$D$13,2,FALSE())</f>
        <v>Home</v>
      </c>
      <c r="M970" s="3" t="n">
        <f aca="false">F970*G970*(1-H970/100)</f>
        <v>699</v>
      </c>
      <c r="N970" s="0" t="str">
        <f aca="false">VLOOKUP(I970,Customers!$A$2:$D$121,3,FALSE())</f>
        <v>Kolkata</v>
      </c>
      <c r="O970" s="0" t="str">
        <f aca="false">VLOOKUP(I970,Customers!$A$2:$D$121,4,FALSE())</f>
        <v>Student</v>
      </c>
      <c r="P970" s="0" t="str">
        <f aca="false">TEXT(B970,"yyyy-mm")</f>
        <v>2026-03</v>
      </c>
    </row>
    <row r="971" customFormat="false" ht="15" hidden="false" customHeight="false" outlineLevel="0" collapsed="false">
      <c r="A971" s="0" t="s">
        <v>1137</v>
      </c>
      <c r="B971" s="2" t="n">
        <v>45914</v>
      </c>
      <c r="C971" s="3" t="s">
        <v>23</v>
      </c>
      <c r="D971" s="3" t="s">
        <v>60</v>
      </c>
      <c r="E971" s="3" t="s">
        <v>29</v>
      </c>
      <c r="F971" s="0" t="n">
        <v>3</v>
      </c>
      <c r="G971" s="0" t="n">
        <v>40</v>
      </c>
      <c r="H971" s="0" t="n">
        <v>0</v>
      </c>
      <c r="I971" s="3" t="s">
        <v>63</v>
      </c>
      <c r="J971" s="0" t="n">
        <v>4</v>
      </c>
      <c r="K971" s="3" t="s">
        <v>43</v>
      </c>
      <c r="L971" s="0" t="str">
        <f aca="false">VLOOKUP(D971,Products!$A$2:$D$13,2,FALSE())</f>
        <v>Stationery</v>
      </c>
      <c r="M971" s="3" t="n">
        <f aca="false">F971*G971*(1-H971/100)</f>
        <v>120</v>
      </c>
      <c r="N971" s="0" t="str">
        <f aca="false">VLOOKUP(I971,Customers!$A$2:$D$121,3,FALSE())</f>
        <v>Indore</v>
      </c>
      <c r="O971" s="0" t="str">
        <f aca="false">VLOOKUP(I971,Customers!$A$2:$D$121,4,FALSE())</f>
        <v>Student</v>
      </c>
      <c r="P971" s="0" t="str">
        <f aca="false">TEXT(B971,"yyyy-mm")</f>
        <v>2025-09</v>
      </c>
    </row>
    <row r="972" customFormat="false" ht="15" hidden="false" customHeight="false" outlineLevel="0" collapsed="false">
      <c r="A972" s="0" t="s">
        <v>1138</v>
      </c>
      <c r="B972" s="2" t="n">
        <v>46104</v>
      </c>
      <c r="C972" s="3" t="s">
        <v>17</v>
      </c>
      <c r="D972" s="3" t="s">
        <v>37</v>
      </c>
      <c r="E972" s="3" t="s">
        <v>93</v>
      </c>
      <c r="F972" s="0" t="n">
        <v>1</v>
      </c>
      <c r="G972" s="0" t="n">
        <v>500</v>
      </c>
      <c r="H972" s="0" t="n">
        <v>5</v>
      </c>
      <c r="I972" s="3" t="s">
        <v>335</v>
      </c>
      <c r="J972" s="0" t="n">
        <v>1</v>
      </c>
      <c r="K972" s="3" t="s">
        <v>43</v>
      </c>
      <c r="L972" s="0" t="str">
        <f aca="false">VLOOKUP(D972,Products!$A$2:$D$13,2,FALSE())</f>
        <v>Electronics</v>
      </c>
      <c r="M972" s="3" t="n">
        <f aca="false">F972*G972*(1-H972/100)</f>
        <v>475</v>
      </c>
      <c r="N972" s="0" t="str">
        <f aca="false">VLOOKUP(I972,Customers!$A$2:$D$121,3,FALSE())</f>
        <v>Bhopal</v>
      </c>
      <c r="O972" s="0" t="str">
        <f aca="false">VLOOKUP(I972,Customers!$A$2:$D$121,4,FALSE())</f>
        <v>Retail</v>
      </c>
      <c r="P972" s="0" t="str">
        <f aca="false">TEXT(B972,"yyyy-mm")</f>
        <v>2026-03</v>
      </c>
    </row>
    <row r="973" customFormat="false" ht="15" hidden="false" customHeight="false" outlineLevel="0" collapsed="false">
      <c r="A973" s="0" t="s">
        <v>1139</v>
      </c>
      <c r="B973" s="2" t="n">
        <v>45913</v>
      </c>
      <c r="C973" s="3" t="s">
        <v>51</v>
      </c>
      <c r="D973" s="3" t="s">
        <v>116</v>
      </c>
      <c r="E973" s="3" t="s">
        <v>52</v>
      </c>
      <c r="F973" s="0" t="n">
        <v>1</v>
      </c>
      <c r="G973" s="0" t="n">
        <v>699</v>
      </c>
      <c r="H973" s="0" t="n">
        <v>10</v>
      </c>
      <c r="I973" s="3" t="s">
        <v>98</v>
      </c>
      <c r="J973" s="0" t="n">
        <v>5</v>
      </c>
      <c r="K973" s="3" t="s">
        <v>26</v>
      </c>
      <c r="L973" s="0" t="str">
        <f aca="false">VLOOKUP(D973,Products!$A$2:$D$13,2,FALSE())</f>
        <v>Home</v>
      </c>
      <c r="M973" s="3" t="n">
        <f aca="false">F973*G973*(1-H973/100)</f>
        <v>629.1</v>
      </c>
      <c r="N973" s="0" t="str">
        <f aca="false">VLOOKUP(I973,Customers!$A$2:$D$121,3,FALSE())</f>
        <v>Pune</v>
      </c>
      <c r="O973" s="0" t="str">
        <f aca="false">VLOOKUP(I973,Customers!$A$2:$D$121,4,FALSE())</f>
        <v>Retail</v>
      </c>
      <c r="P973" s="0" t="str">
        <f aca="false">TEXT(B973,"yyyy-mm")</f>
        <v>2025-09</v>
      </c>
    </row>
    <row r="974" customFormat="false" ht="15" hidden="false" customHeight="false" outlineLevel="0" collapsed="false">
      <c r="A974" s="0" t="s">
        <v>1140</v>
      </c>
      <c r="B974" s="2" t="n">
        <v>46005</v>
      </c>
      <c r="C974" s="3" t="s">
        <v>51</v>
      </c>
      <c r="D974" s="3" t="s">
        <v>41</v>
      </c>
      <c r="E974" s="3" t="s">
        <v>83</v>
      </c>
      <c r="F974" s="0" t="n">
        <v>3</v>
      </c>
      <c r="G974" s="0" t="n">
        <v>399</v>
      </c>
      <c r="H974" s="0" t="n">
        <v>15</v>
      </c>
      <c r="I974" s="3" t="s">
        <v>309</v>
      </c>
      <c r="J974" s="0" t="n">
        <v>3</v>
      </c>
      <c r="K974" s="3" t="s">
        <v>34</v>
      </c>
      <c r="L974" s="0" t="str">
        <f aca="false">VLOOKUP(D974,Products!$A$2:$D$13,2,FALSE())</f>
        <v>Electronics</v>
      </c>
      <c r="M974" s="3" t="n">
        <f aca="false">F974*G974*(1-H974/100)</f>
        <v>1017.45</v>
      </c>
      <c r="N974" s="0" t="str">
        <f aca="false">VLOOKUP(I974,Customers!$A$2:$D$121,3,FALSE())</f>
        <v>Delhi</v>
      </c>
      <c r="O974" s="0" t="str">
        <f aca="false">VLOOKUP(I974,Customers!$A$2:$D$121,4,FALSE())</f>
        <v>Student</v>
      </c>
      <c r="P974" s="0" t="str">
        <f aca="false">TEXT(B974,"yyyy-mm")</f>
        <v>2025-12</v>
      </c>
    </row>
    <row r="975" customFormat="false" ht="15" hidden="false" customHeight="false" outlineLevel="0" collapsed="false">
      <c r="A975" s="0" t="s">
        <v>1141</v>
      </c>
      <c r="B975" s="2" t="n">
        <v>46002</v>
      </c>
      <c r="C975" s="3" t="s">
        <v>36</v>
      </c>
      <c r="D975" s="3" t="s">
        <v>88</v>
      </c>
      <c r="E975" s="3" t="s">
        <v>38</v>
      </c>
      <c r="F975" s="0" t="n">
        <v>2</v>
      </c>
      <c r="G975" s="0" t="n">
        <v>799</v>
      </c>
      <c r="H975" s="0" t="n">
        <v>15</v>
      </c>
      <c r="I975" s="3" t="s">
        <v>304</v>
      </c>
      <c r="J975" s="0" t="n">
        <v>5</v>
      </c>
      <c r="K975" s="3" t="s">
        <v>26</v>
      </c>
      <c r="L975" s="0" t="str">
        <f aca="false">VLOOKUP(D975,Products!$A$2:$D$13,2,FALSE())</f>
        <v>Accessories</v>
      </c>
      <c r="M975" s="3" t="n">
        <f aca="false">F975*G975*(1-H975/100)</f>
        <v>1358.3</v>
      </c>
      <c r="N975" s="0" t="str">
        <f aca="false">VLOOKUP(I975,Customers!$A$2:$D$121,3,FALSE())</f>
        <v>Delhi</v>
      </c>
      <c r="O975" s="0" t="str">
        <f aca="false">VLOOKUP(I975,Customers!$A$2:$D$121,4,FALSE())</f>
        <v>Retail</v>
      </c>
      <c r="P975" s="0" t="str">
        <f aca="false">TEXT(B975,"yyyy-mm")</f>
        <v>2025-12</v>
      </c>
    </row>
    <row r="976" customFormat="false" ht="15" hidden="false" customHeight="false" outlineLevel="0" collapsed="false">
      <c r="A976" s="0" t="s">
        <v>1142</v>
      </c>
      <c r="B976" s="2" t="n">
        <v>45772</v>
      </c>
      <c r="C976" s="3" t="s">
        <v>72</v>
      </c>
      <c r="D976" s="3" t="s">
        <v>37</v>
      </c>
      <c r="E976" s="3" t="s">
        <v>89</v>
      </c>
      <c r="F976" s="0" t="n">
        <v>2</v>
      </c>
      <c r="G976" s="0" t="n">
        <v>500</v>
      </c>
      <c r="H976" s="0" t="n">
        <v>0</v>
      </c>
      <c r="I976" s="3" t="s">
        <v>254</v>
      </c>
      <c r="J976" s="0" t="n">
        <v>4</v>
      </c>
      <c r="K976" s="3" t="s">
        <v>21</v>
      </c>
      <c r="L976" s="0" t="str">
        <f aca="false">VLOOKUP(D976,Products!$A$2:$D$13,2,FALSE())</f>
        <v>Electronics</v>
      </c>
      <c r="M976" s="3" t="n">
        <f aca="false">F976*G976*(1-H976/100)</f>
        <v>1000</v>
      </c>
      <c r="N976" s="0" t="str">
        <f aca="false">VLOOKUP(I976,Customers!$A$2:$D$121,3,FALSE())</f>
        <v>Pune</v>
      </c>
      <c r="O976" s="0" t="str">
        <f aca="false">VLOOKUP(I976,Customers!$A$2:$D$121,4,FALSE())</f>
        <v>Student</v>
      </c>
      <c r="P976" s="0" t="str">
        <f aca="false">TEXT(B976,"yyyy-mm")</f>
        <v>2025-04</v>
      </c>
    </row>
    <row r="977" customFormat="false" ht="15" hidden="false" customHeight="false" outlineLevel="0" collapsed="false">
      <c r="A977" s="0" t="s">
        <v>1143</v>
      </c>
      <c r="B977" s="2" t="n">
        <v>45796</v>
      </c>
      <c r="C977" s="3" t="s">
        <v>23</v>
      </c>
      <c r="D977" s="3" t="s">
        <v>48</v>
      </c>
      <c r="E977" s="3" t="s">
        <v>29</v>
      </c>
      <c r="F977" s="0" t="n">
        <v>1</v>
      </c>
      <c r="G977" s="0" t="n">
        <v>199</v>
      </c>
      <c r="H977" s="0" t="n">
        <v>10</v>
      </c>
      <c r="I977" s="3" t="s">
        <v>309</v>
      </c>
      <c r="J977" s="0" t="n">
        <v>3</v>
      </c>
      <c r="K977" s="3" t="s">
        <v>43</v>
      </c>
      <c r="L977" s="0" t="str">
        <f aca="false">VLOOKUP(D977,Products!$A$2:$D$13,2,FALSE())</f>
        <v>Home</v>
      </c>
      <c r="M977" s="3" t="n">
        <f aca="false">F977*G977*(1-H977/100)</f>
        <v>179.1</v>
      </c>
      <c r="N977" s="0" t="str">
        <f aca="false">VLOOKUP(I977,Customers!$A$2:$D$121,3,FALSE())</f>
        <v>Delhi</v>
      </c>
      <c r="O977" s="0" t="str">
        <f aca="false">VLOOKUP(I977,Customers!$A$2:$D$121,4,FALSE())</f>
        <v>Student</v>
      </c>
      <c r="P977" s="0" t="str">
        <f aca="false">TEXT(B977,"yyyy-mm")</f>
        <v>2025-05</v>
      </c>
    </row>
    <row r="978" customFormat="false" ht="15" hidden="false" customHeight="false" outlineLevel="0" collapsed="false">
      <c r="A978" s="0" t="s">
        <v>1144</v>
      </c>
      <c r="B978" s="2" t="n">
        <v>45787</v>
      </c>
      <c r="C978" s="3" t="s">
        <v>72</v>
      </c>
      <c r="D978" s="3" t="s">
        <v>28</v>
      </c>
      <c r="E978" s="3" t="s">
        <v>73</v>
      </c>
      <c r="F978" s="0" t="n">
        <v>1</v>
      </c>
      <c r="G978" s="0" t="n">
        <v>450</v>
      </c>
      <c r="H978" s="0" t="n">
        <v>15</v>
      </c>
      <c r="I978" s="3" t="s">
        <v>426</v>
      </c>
      <c r="J978" s="0" t="n">
        <v>3</v>
      </c>
      <c r="K978" s="3" t="s">
        <v>43</v>
      </c>
      <c r="L978" s="0" t="str">
        <f aca="false">VLOOKUP(D978,Products!$A$2:$D$13,2,FALSE())</f>
        <v>Electronics</v>
      </c>
      <c r="M978" s="3" t="n">
        <f aca="false">F978*G978*(1-H978/100)</f>
        <v>382.5</v>
      </c>
      <c r="N978" s="0" t="str">
        <f aca="false">VLOOKUP(I978,Customers!$A$2:$D$121,3,FALSE())</f>
        <v>Bhopal</v>
      </c>
      <c r="O978" s="0" t="str">
        <f aca="false">VLOOKUP(I978,Customers!$A$2:$D$121,4,FALSE())</f>
        <v>Corporate</v>
      </c>
      <c r="P978" s="0" t="str">
        <f aca="false">TEXT(B978,"yyyy-mm")</f>
        <v>2025-05</v>
      </c>
    </row>
    <row r="979" customFormat="false" ht="15" hidden="false" customHeight="false" outlineLevel="0" collapsed="false">
      <c r="A979" s="0" t="s">
        <v>1145</v>
      </c>
      <c r="B979" s="2" t="n">
        <v>45908</v>
      </c>
      <c r="C979" s="3" t="s">
        <v>23</v>
      </c>
      <c r="D979" s="3" t="s">
        <v>18</v>
      </c>
      <c r="E979" s="3" t="s">
        <v>29</v>
      </c>
      <c r="F979" s="0" t="n">
        <v>3</v>
      </c>
      <c r="G979" s="0" t="n">
        <v>349</v>
      </c>
      <c r="H979" s="0" t="n">
        <v>0</v>
      </c>
      <c r="I979" s="3" t="s">
        <v>322</v>
      </c>
      <c r="J979" s="0" t="n">
        <v>4</v>
      </c>
      <c r="K979" s="3" t="s">
        <v>26</v>
      </c>
      <c r="L979" s="0" t="str">
        <f aca="false">VLOOKUP(D979,Products!$A$2:$D$13,2,FALSE())</f>
        <v>Home</v>
      </c>
      <c r="M979" s="3" t="n">
        <f aca="false">F979*G979*(1-H979/100)</f>
        <v>1047</v>
      </c>
      <c r="N979" s="0" t="str">
        <f aca="false">VLOOKUP(I979,Customers!$A$2:$D$121,3,FALSE())</f>
        <v>Kolkata</v>
      </c>
      <c r="O979" s="0" t="str">
        <f aca="false">VLOOKUP(I979,Customers!$A$2:$D$121,4,FALSE())</f>
        <v>Retail</v>
      </c>
      <c r="P979" s="0" t="str">
        <f aca="false">TEXT(B979,"yyyy-mm")</f>
        <v>2025-09</v>
      </c>
    </row>
    <row r="980" customFormat="false" ht="15" hidden="false" customHeight="false" outlineLevel="0" collapsed="false">
      <c r="A980" s="0" t="s">
        <v>1146</v>
      </c>
      <c r="B980" s="2" t="n">
        <v>45843</v>
      </c>
      <c r="C980" s="3" t="s">
        <v>23</v>
      </c>
      <c r="D980" s="3" t="s">
        <v>60</v>
      </c>
      <c r="E980" s="3" t="s">
        <v>29</v>
      </c>
      <c r="F980" s="0" t="n">
        <v>3</v>
      </c>
      <c r="G980" s="0" t="n">
        <v>40</v>
      </c>
      <c r="H980" s="0" t="n">
        <v>10</v>
      </c>
      <c r="I980" s="3" t="s">
        <v>411</v>
      </c>
      <c r="J980" s="0" t="n">
        <v>3</v>
      </c>
      <c r="K980" s="3" t="s">
        <v>34</v>
      </c>
      <c r="L980" s="0" t="str">
        <f aca="false">VLOOKUP(D980,Products!$A$2:$D$13,2,FALSE())</f>
        <v>Stationery</v>
      </c>
      <c r="M980" s="3" t="n">
        <f aca="false">F980*G980*(1-H980/100)</f>
        <v>108</v>
      </c>
      <c r="N980" s="0" t="str">
        <f aca="false">VLOOKUP(I980,Customers!$A$2:$D$121,3,FALSE())</f>
        <v>Pune</v>
      </c>
      <c r="O980" s="0" t="str">
        <f aca="false">VLOOKUP(I980,Customers!$A$2:$D$121,4,FALSE())</f>
        <v>Corporate</v>
      </c>
      <c r="P980" s="0" t="str">
        <f aca="false">TEXT(B980,"yyyy-mm")</f>
        <v>2025-07</v>
      </c>
    </row>
    <row r="981" customFormat="false" ht="15" hidden="false" customHeight="false" outlineLevel="0" collapsed="false">
      <c r="A981" s="0" t="s">
        <v>1147</v>
      </c>
      <c r="B981" s="2" t="n">
        <v>46062</v>
      </c>
      <c r="C981" s="3" t="s">
        <v>23</v>
      </c>
      <c r="D981" s="3" t="s">
        <v>18</v>
      </c>
      <c r="E981" s="3" t="s">
        <v>24</v>
      </c>
      <c r="F981" s="0" t="n">
        <v>2</v>
      </c>
      <c r="G981" s="0" t="n">
        <v>349</v>
      </c>
      <c r="H981" s="0" t="n">
        <v>5</v>
      </c>
      <c r="I981" s="3" t="s">
        <v>249</v>
      </c>
      <c r="J981" s="0" t="n">
        <v>4</v>
      </c>
      <c r="K981" s="3" t="s">
        <v>26</v>
      </c>
      <c r="L981" s="0" t="str">
        <f aca="false">VLOOKUP(D981,Products!$A$2:$D$13,2,FALSE())</f>
        <v>Home</v>
      </c>
      <c r="M981" s="3" t="n">
        <f aca="false">F981*G981*(1-H981/100)</f>
        <v>663.1</v>
      </c>
      <c r="N981" s="0" t="str">
        <f aca="false">VLOOKUP(I981,Customers!$A$2:$D$121,3,FALSE())</f>
        <v>Jaipur</v>
      </c>
      <c r="O981" s="0" t="str">
        <f aca="false">VLOOKUP(I981,Customers!$A$2:$D$121,4,FALSE())</f>
        <v>Retail</v>
      </c>
      <c r="P981" s="0" t="str">
        <f aca="false">TEXT(B981,"yyyy-mm")</f>
        <v>2026-02</v>
      </c>
    </row>
    <row r="982" customFormat="false" ht="15" hidden="false" customHeight="false" outlineLevel="0" collapsed="false">
      <c r="A982" s="0" t="s">
        <v>1148</v>
      </c>
      <c r="B982" s="2" t="n">
        <v>45823</v>
      </c>
      <c r="C982" s="3" t="s">
        <v>51</v>
      </c>
      <c r="D982" s="3" t="s">
        <v>41</v>
      </c>
      <c r="E982" s="3" t="s">
        <v>83</v>
      </c>
      <c r="F982" s="0" t="n">
        <v>1</v>
      </c>
      <c r="G982" s="0" t="n">
        <v>399</v>
      </c>
      <c r="H982" s="0" t="n">
        <v>0</v>
      </c>
      <c r="I982" s="3" t="s">
        <v>485</v>
      </c>
      <c r="J982" s="0" t="n">
        <v>5</v>
      </c>
      <c r="K982" s="3" t="s">
        <v>43</v>
      </c>
      <c r="L982" s="0" t="str">
        <f aca="false">VLOOKUP(D982,Products!$A$2:$D$13,2,FALSE())</f>
        <v>Electronics</v>
      </c>
      <c r="M982" s="3" t="n">
        <f aca="false">F982*G982*(1-H982/100)</f>
        <v>399</v>
      </c>
      <c r="N982" s="0" t="str">
        <f aca="false">VLOOKUP(I982,Customers!$A$2:$D$121,3,FALSE())</f>
        <v>Indore</v>
      </c>
      <c r="O982" s="0" t="str">
        <f aca="false">VLOOKUP(I982,Customers!$A$2:$D$121,4,FALSE())</f>
        <v>Retail</v>
      </c>
      <c r="P982" s="0" t="str">
        <f aca="false">TEXT(B982,"yyyy-mm")</f>
        <v>2025-06</v>
      </c>
    </row>
    <row r="983" customFormat="false" ht="15" hidden="false" customHeight="false" outlineLevel="0" collapsed="false">
      <c r="A983" s="0" t="s">
        <v>1149</v>
      </c>
      <c r="B983" s="2" t="n">
        <v>45780</v>
      </c>
      <c r="C983" s="3" t="s">
        <v>72</v>
      </c>
      <c r="D983" s="3" t="s">
        <v>88</v>
      </c>
      <c r="E983" s="3" t="s">
        <v>73</v>
      </c>
      <c r="F983" s="0" t="n">
        <v>2</v>
      </c>
      <c r="G983" s="0" t="n">
        <v>799</v>
      </c>
      <c r="H983" s="0" t="n">
        <v>15</v>
      </c>
      <c r="I983" s="3" t="s">
        <v>296</v>
      </c>
      <c r="J983" s="0" t="n">
        <v>5</v>
      </c>
      <c r="K983" s="3" t="s">
        <v>34</v>
      </c>
      <c r="L983" s="0" t="str">
        <f aca="false">VLOOKUP(D983,Products!$A$2:$D$13,2,FALSE())</f>
        <v>Accessories</v>
      </c>
      <c r="M983" s="3" t="n">
        <f aca="false">F983*G983*(1-H983/100)</f>
        <v>1358.3</v>
      </c>
      <c r="N983" s="0" t="str">
        <f aca="false">VLOOKUP(I983,Customers!$A$2:$D$121,3,FALSE())</f>
        <v>Pune</v>
      </c>
      <c r="O983" s="0" t="str">
        <f aca="false">VLOOKUP(I983,Customers!$A$2:$D$121,4,FALSE())</f>
        <v>Retail</v>
      </c>
      <c r="P983" s="0" t="str">
        <f aca="false">TEXT(B983,"yyyy-mm")</f>
        <v>2025-05</v>
      </c>
    </row>
    <row r="984" customFormat="false" ht="15" hidden="false" customHeight="false" outlineLevel="0" collapsed="false">
      <c r="A984" s="0" t="s">
        <v>1150</v>
      </c>
      <c r="B984" s="2" t="n">
        <v>45879</v>
      </c>
      <c r="C984" s="3" t="s">
        <v>36</v>
      </c>
      <c r="D984" s="3" t="s">
        <v>18</v>
      </c>
      <c r="E984" s="3" t="s">
        <v>38</v>
      </c>
      <c r="F984" s="0" t="n">
        <v>1</v>
      </c>
      <c r="G984" s="0" t="n">
        <v>349</v>
      </c>
      <c r="H984" s="0" t="n">
        <v>15</v>
      </c>
      <c r="I984" s="3" t="s">
        <v>70</v>
      </c>
      <c r="J984" s="0" t="n">
        <v>3</v>
      </c>
      <c r="K984" s="3" t="s">
        <v>21</v>
      </c>
      <c r="L984" s="0" t="str">
        <f aca="false">VLOOKUP(D984,Products!$A$2:$D$13,2,FALSE())</f>
        <v>Home</v>
      </c>
      <c r="M984" s="3" t="n">
        <f aca="false">F984*G984*(1-H984/100)</f>
        <v>296.65</v>
      </c>
      <c r="N984" s="0" t="str">
        <f aca="false">VLOOKUP(I984,Customers!$A$2:$D$121,3,FALSE())</f>
        <v>Bhopal</v>
      </c>
      <c r="O984" s="0" t="str">
        <f aca="false">VLOOKUP(I984,Customers!$A$2:$D$121,4,FALSE())</f>
        <v>Retail</v>
      </c>
      <c r="P984" s="0" t="str">
        <f aca="false">TEXT(B984,"yyyy-mm")</f>
        <v>2025-08</v>
      </c>
    </row>
    <row r="985" customFormat="false" ht="15" hidden="false" customHeight="false" outlineLevel="0" collapsed="false">
      <c r="A985" s="0" t="s">
        <v>1151</v>
      </c>
      <c r="B985" s="2" t="n">
        <v>45762</v>
      </c>
      <c r="C985" s="3" t="s">
        <v>36</v>
      </c>
      <c r="D985" s="3" t="s">
        <v>108</v>
      </c>
      <c r="E985" s="3" t="s">
        <v>69</v>
      </c>
      <c r="F985" s="0" t="n">
        <v>1</v>
      </c>
      <c r="G985" s="0" t="n">
        <v>180</v>
      </c>
      <c r="H985" s="0" t="n">
        <v>0</v>
      </c>
      <c r="I985" s="3" t="s">
        <v>379</v>
      </c>
      <c r="J985" s="0" t="n">
        <v>5</v>
      </c>
      <c r="K985" s="3" t="s">
        <v>43</v>
      </c>
      <c r="L985" s="0" t="str">
        <f aca="false">VLOOKUP(D985,Products!$A$2:$D$13,2,FALSE())</f>
        <v>Stationery</v>
      </c>
      <c r="M985" s="3" t="n">
        <f aca="false">F985*G985*(1-H985/100)</f>
        <v>180</v>
      </c>
      <c r="N985" s="0" t="str">
        <f aca="false">VLOOKUP(I985,Customers!$A$2:$D$121,3,FALSE())</f>
        <v>Kolkata</v>
      </c>
      <c r="O985" s="0" t="str">
        <f aca="false">VLOOKUP(I985,Customers!$A$2:$D$121,4,FALSE())</f>
        <v>Student</v>
      </c>
      <c r="P985" s="0" t="str">
        <f aca="false">TEXT(B985,"yyyy-mm")</f>
        <v>2025-04</v>
      </c>
    </row>
    <row r="986" customFormat="false" ht="15" hidden="false" customHeight="false" outlineLevel="0" collapsed="false">
      <c r="A986" s="0" t="s">
        <v>1152</v>
      </c>
      <c r="B986" s="2" t="n">
        <v>45964</v>
      </c>
      <c r="C986" s="3" t="s">
        <v>51</v>
      </c>
      <c r="D986" s="3" t="s">
        <v>57</v>
      </c>
      <c r="E986" s="3" t="s">
        <v>52</v>
      </c>
      <c r="F986" s="0" t="n">
        <v>5</v>
      </c>
      <c r="G986" s="0" t="n">
        <v>549</v>
      </c>
      <c r="H986" s="0" t="n">
        <v>15</v>
      </c>
      <c r="I986" s="3" t="s">
        <v>94</v>
      </c>
      <c r="J986" s="0" t="n">
        <v>1</v>
      </c>
      <c r="K986" s="3" t="s">
        <v>34</v>
      </c>
      <c r="L986" s="0" t="str">
        <f aca="false">VLOOKUP(D986,Products!$A$2:$D$13,2,FALSE())</f>
        <v>Accessories</v>
      </c>
      <c r="M986" s="3" t="n">
        <f aca="false">F986*G986*(1-H986/100)</f>
        <v>2333.25</v>
      </c>
      <c r="N986" s="0" t="str">
        <f aca="false">VLOOKUP(I986,Customers!$A$2:$D$121,3,FALSE())</f>
        <v>Chennai</v>
      </c>
      <c r="O986" s="0" t="str">
        <f aca="false">VLOOKUP(I986,Customers!$A$2:$D$121,4,FALSE())</f>
        <v>Corporate</v>
      </c>
      <c r="P986" s="0" t="str">
        <f aca="false">TEXT(B986,"yyyy-mm")</f>
        <v>2025-11</v>
      </c>
    </row>
    <row r="987" customFormat="false" ht="15" hidden="false" customHeight="false" outlineLevel="0" collapsed="false">
      <c r="A987" s="0" t="s">
        <v>1153</v>
      </c>
      <c r="B987" s="2" t="n">
        <v>45880</v>
      </c>
      <c r="C987" s="3" t="s">
        <v>17</v>
      </c>
      <c r="D987" s="3" t="s">
        <v>108</v>
      </c>
      <c r="E987" s="3" t="s">
        <v>19</v>
      </c>
      <c r="F987" s="0" t="n">
        <v>1</v>
      </c>
      <c r="G987" s="0" t="n">
        <v>180</v>
      </c>
      <c r="H987" s="0" t="n">
        <v>0</v>
      </c>
      <c r="I987" s="3" t="s">
        <v>251</v>
      </c>
      <c r="J987" s="0" t="n">
        <v>4</v>
      </c>
      <c r="K987" s="3" t="s">
        <v>43</v>
      </c>
      <c r="L987" s="0" t="str">
        <f aca="false">VLOOKUP(D987,Products!$A$2:$D$13,2,FALSE())</f>
        <v>Stationery</v>
      </c>
      <c r="M987" s="3" t="n">
        <f aca="false">F987*G987*(1-H987/100)</f>
        <v>180</v>
      </c>
      <c r="N987" s="0" t="str">
        <f aca="false">VLOOKUP(I987,Customers!$A$2:$D$121,3,FALSE())</f>
        <v>Indore</v>
      </c>
      <c r="O987" s="0" t="str">
        <f aca="false">VLOOKUP(I987,Customers!$A$2:$D$121,4,FALSE())</f>
        <v>Student</v>
      </c>
      <c r="P987" s="0" t="str">
        <f aca="false">TEXT(B987,"yyyy-mm")</f>
        <v>2025-08</v>
      </c>
    </row>
    <row r="988" customFormat="false" ht="15" hidden="false" customHeight="false" outlineLevel="0" collapsed="false">
      <c r="A988" s="0" t="s">
        <v>1154</v>
      </c>
      <c r="B988" s="2" t="n">
        <v>45790</v>
      </c>
      <c r="C988" s="3" t="s">
        <v>17</v>
      </c>
      <c r="D988" s="3" t="s">
        <v>60</v>
      </c>
      <c r="E988" s="3" t="s">
        <v>19</v>
      </c>
      <c r="F988" s="0" t="n">
        <v>6</v>
      </c>
      <c r="G988" s="0" t="n">
        <v>40</v>
      </c>
      <c r="H988" s="0" t="n">
        <v>0</v>
      </c>
      <c r="I988" s="3" t="s">
        <v>185</v>
      </c>
      <c r="J988" s="0" t="n">
        <v>3</v>
      </c>
      <c r="K988" s="3" t="s">
        <v>43</v>
      </c>
      <c r="L988" s="0" t="str">
        <f aca="false">VLOOKUP(D988,Products!$A$2:$D$13,2,FALSE())</f>
        <v>Stationery</v>
      </c>
      <c r="M988" s="3" t="n">
        <f aca="false">F988*G988*(1-H988/100)</f>
        <v>240</v>
      </c>
      <c r="N988" s="0" t="str">
        <f aca="false">VLOOKUP(I988,Customers!$A$2:$D$121,3,FALSE())</f>
        <v>Indore</v>
      </c>
      <c r="O988" s="0" t="str">
        <f aca="false">VLOOKUP(I988,Customers!$A$2:$D$121,4,FALSE())</f>
        <v>Corporate</v>
      </c>
      <c r="P988" s="0" t="str">
        <f aca="false">TEXT(B988,"yyyy-mm")</f>
        <v>2025-05</v>
      </c>
    </row>
    <row r="989" customFormat="false" ht="15" hidden="false" customHeight="false" outlineLevel="0" collapsed="false">
      <c r="A989" s="0" t="s">
        <v>1155</v>
      </c>
      <c r="B989" s="2" t="n">
        <v>45951</v>
      </c>
      <c r="C989" s="3" t="s">
        <v>17</v>
      </c>
      <c r="D989" s="3" t="s">
        <v>41</v>
      </c>
      <c r="E989" s="3" t="s">
        <v>19</v>
      </c>
      <c r="F989" s="0" t="n">
        <v>1</v>
      </c>
      <c r="G989" s="0" t="n">
        <v>399</v>
      </c>
      <c r="H989" s="0" t="n">
        <v>15</v>
      </c>
      <c r="I989" s="3" t="s">
        <v>77</v>
      </c>
      <c r="J989" s="0" t="n">
        <v>3</v>
      </c>
      <c r="K989" s="3" t="s">
        <v>21</v>
      </c>
      <c r="L989" s="0" t="str">
        <f aca="false">VLOOKUP(D989,Products!$A$2:$D$13,2,FALSE())</f>
        <v>Electronics</v>
      </c>
      <c r="M989" s="3" t="n">
        <f aca="false">F989*G989*(1-H989/100)</f>
        <v>339.15</v>
      </c>
      <c r="N989" s="0" t="str">
        <f aca="false">VLOOKUP(I989,Customers!$A$2:$D$121,3,FALSE())</f>
        <v>Chennai</v>
      </c>
      <c r="O989" s="0" t="str">
        <f aca="false">VLOOKUP(I989,Customers!$A$2:$D$121,4,FALSE())</f>
        <v>Student</v>
      </c>
      <c r="P989" s="0" t="str">
        <f aca="false">TEXT(B989,"yyyy-mm")</f>
        <v>2025-10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4" min="3" style="0" width="12"/>
  </cols>
  <sheetData>
    <row r="1" customFormat="false" ht="15" hidden="false" customHeight="false" outlineLevel="0" collapsed="false">
      <c r="A1" s="1" t="s">
        <v>3</v>
      </c>
      <c r="B1" s="1" t="s">
        <v>11</v>
      </c>
      <c r="C1" s="1" t="s">
        <v>1156</v>
      </c>
      <c r="D1" s="1" t="s">
        <v>6</v>
      </c>
    </row>
    <row r="2" customFormat="false" ht="15" hidden="false" customHeight="false" outlineLevel="0" collapsed="false">
      <c r="A2" s="0" t="s">
        <v>60</v>
      </c>
      <c r="B2" s="0" t="s">
        <v>1157</v>
      </c>
      <c r="C2" s="0" t="n">
        <v>18</v>
      </c>
      <c r="D2" s="0" t="n">
        <v>40</v>
      </c>
    </row>
    <row r="3" customFormat="false" ht="15" hidden="false" customHeight="false" outlineLevel="0" collapsed="false">
      <c r="A3" s="0" t="s">
        <v>45</v>
      </c>
      <c r="B3" s="0" t="s">
        <v>1157</v>
      </c>
      <c r="C3" s="0" t="n">
        <v>12</v>
      </c>
      <c r="D3" s="0" t="n">
        <v>30</v>
      </c>
    </row>
    <row r="4" customFormat="false" ht="15" hidden="false" customHeight="false" outlineLevel="0" collapsed="false">
      <c r="A4" s="0" t="s">
        <v>108</v>
      </c>
      <c r="B4" s="0" t="s">
        <v>1157</v>
      </c>
      <c r="C4" s="0" t="n">
        <v>90</v>
      </c>
      <c r="D4" s="0" t="n">
        <v>180</v>
      </c>
    </row>
    <row r="5" customFormat="false" ht="15" hidden="false" customHeight="false" outlineLevel="0" collapsed="false">
      <c r="A5" s="0" t="s">
        <v>28</v>
      </c>
      <c r="B5" s="0" t="s">
        <v>1158</v>
      </c>
      <c r="C5" s="0" t="n">
        <v>220</v>
      </c>
      <c r="D5" s="0" t="n">
        <v>450</v>
      </c>
    </row>
    <row r="6" customFormat="false" ht="15" hidden="false" customHeight="false" outlineLevel="0" collapsed="false">
      <c r="A6" s="0" t="s">
        <v>37</v>
      </c>
      <c r="B6" s="0" t="s">
        <v>1158</v>
      </c>
      <c r="C6" s="0" t="n">
        <v>260</v>
      </c>
      <c r="D6" s="0" t="n">
        <v>500</v>
      </c>
    </row>
    <row r="7" customFormat="false" ht="15" hidden="false" customHeight="false" outlineLevel="0" collapsed="false">
      <c r="A7" s="0" t="s">
        <v>41</v>
      </c>
      <c r="B7" s="0" t="s">
        <v>1158</v>
      </c>
      <c r="C7" s="0" t="n">
        <v>180</v>
      </c>
      <c r="D7" s="0" t="n">
        <v>399</v>
      </c>
    </row>
    <row r="8" customFormat="false" ht="15" hidden="false" customHeight="false" outlineLevel="0" collapsed="false">
      <c r="A8" s="0" t="s">
        <v>88</v>
      </c>
      <c r="B8" s="0" t="s">
        <v>1159</v>
      </c>
      <c r="C8" s="0" t="n">
        <v>350</v>
      </c>
      <c r="D8" s="0" t="n">
        <v>799</v>
      </c>
    </row>
    <row r="9" customFormat="false" ht="15" hidden="false" customHeight="false" outlineLevel="0" collapsed="false">
      <c r="A9" s="0" t="s">
        <v>32</v>
      </c>
      <c r="B9" s="0" t="s">
        <v>1159</v>
      </c>
      <c r="C9" s="0" t="n">
        <v>110</v>
      </c>
      <c r="D9" s="0" t="n">
        <v>249</v>
      </c>
    </row>
    <row r="10" customFormat="false" ht="15" hidden="false" customHeight="false" outlineLevel="0" collapsed="false">
      <c r="A10" s="0" t="s">
        <v>57</v>
      </c>
      <c r="B10" s="0" t="s">
        <v>1159</v>
      </c>
      <c r="C10" s="0" t="n">
        <v>240</v>
      </c>
      <c r="D10" s="0" t="n">
        <v>549</v>
      </c>
    </row>
    <row r="11" customFormat="false" ht="15" hidden="false" customHeight="false" outlineLevel="0" collapsed="false">
      <c r="A11" s="0" t="s">
        <v>116</v>
      </c>
      <c r="B11" s="0" t="s">
        <v>1160</v>
      </c>
      <c r="C11" s="0" t="n">
        <v>300</v>
      </c>
      <c r="D11" s="0" t="n">
        <v>699</v>
      </c>
    </row>
    <row r="12" customFormat="false" ht="15" hidden="false" customHeight="false" outlineLevel="0" collapsed="false">
      <c r="A12" s="0" t="s">
        <v>18</v>
      </c>
      <c r="B12" s="0" t="s">
        <v>1160</v>
      </c>
      <c r="C12" s="0" t="n">
        <v>150</v>
      </c>
      <c r="D12" s="0" t="n">
        <v>349</v>
      </c>
    </row>
    <row r="13" customFormat="false" ht="15" hidden="false" customHeight="false" outlineLevel="0" collapsed="false">
      <c r="A13" s="0" t="s">
        <v>48</v>
      </c>
      <c r="B13" s="0" t="s">
        <v>1160</v>
      </c>
      <c r="C13" s="0" t="n">
        <v>80</v>
      </c>
      <c r="D13" s="0" t="n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4" min="3" style="0" width="12"/>
  </cols>
  <sheetData>
    <row r="1" customFormat="false" ht="15" hidden="false" customHeight="false" outlineLevel="0" collapsed="false">
      <c r="A1" s="1" t="s">
        <v>8</v>
      </c>
      <c r="B1" s="1" t="s">
        <v>1161</v>
      </c>
      <c r="C1" s="1" t="s">
        <v>13</v>
      </c>
      <c r="D1" s="1" t="s">
        <v>14</v>
      </c>
    </row>
    <row r="2" customFormat="false" ht="15" hidden="false" customHeight="false" outlineLevel="0" collapsed="false">
      <c r="A2" s="0" t="s">
        <v>130</v>
      </c>
      <c r="B2" s="0" t="s">
        <v>1162</v>
      </c>
      <c r="C2" s="0" t="s">
        <v>1163</v>
      </c>
      <c r="D2" s="0" t="s">
        <v>1164</v>
      </c>
    </row>
    <row r="3" customFormat="false" ht="15" hidden="false" customHeight="false" outlineLevel="0" collapsed="false">
      <c r="A3" s="0" t="s">
        <v>210</v>
      </c>
      <c r="B3" s="0" t="s">
        <v>1165</v>
      </c>
      <c r="C3" s="0" t="s">
        <v>1166</v>
      </c>
      <c r="D3" s="0" t="s">
        <v>1167</v>
      </c>
    </row>
    <row r="4" customFormat="false" ht="15" hidden="false" customHeight="false" outlineLevel="0" collapsed="false">
      <c r="A4" s="0" t="s">
        <v>172</v>
      </c>
      <c r="B4" s="0" t="s">
        <v>1168</v>
      </c>
      <c r="C4" s="0" t="s">
        <v>1169</v>
      </c>
      <c r="D4" s="0" t="s">
        <v>1164</v>
      </c>
    </row>
    <row r="5" customFormat="false" ht="15" hidden="false" customHeight="false" outlineLevel="0" collapsed="false">
      <c r="A5" s="0" t="s">
        <v>137</v>
      </c>
      <c r="B5" s="0" t="s">
        <v>1170</v>
      </c>
      <c r="C5" s="0" t="s">
        <v>1171</v>
      </c>
      <c r="D5" s="0" t="s">
        <v>1172</v>
      </c>
    </row>
    <row r="6" customFormat="false" ht="15" hidden="false" customHeight="false" outlineLevel="0" collapsed="false">
      <c r="A6" s="0" t="s">
        <v>145</v>
      </c>
      <c r="B6" s="0" t="s">
        <v>1173</v>
      </c>
      <c r="C6" s="0" t="s">
        <v>1174</v>
      </c>
      <c r="D6" s="0" t="s">
        <v>1167</v>
      </c>
    </row>
    <row r="7" customFormat="false" ht="15" hidden="false" customHeight="false" outlineLevel="0" collapsed="false">
      <c r="A7" s="0" t="s">
        <v>158</v>
      </c>
      <c r="B7" s="0" t="s">
        <v>1175</v>
      </c>
      <c r="C7" s="0" t="s">
        <v>1171</v>
      </c>
      <c r="D7" s="0" t="s">
        <v>1164</v>
      </c>
    </row>
    <row r="8" customFormat="false" ht="15" hidden="false" customHeight="false" outlineLevel="0" collapsed="false">
      <c r="A8" s="0" t="s">
        <v>100</v>
      </c>
      <c r="B8" s="0" t="s">
        <v>1176</v>
      </c>
      <c r="C8" s="0" t="s">
        <v>1163</v>
      </c>
      <c r="D8" s="0" t="s">
        <v>1164</v>
      </c>
    </row>
    <row r="9" customFormat="false" ht="15" hidden="false" customHeight="false" outlineLevel="0" collapsed="false">
      <c r="A9" s="0" t="s">
        <v>313</v>
      </c>
      <c r="B9" s="0" t="s">
        <v>1177</v>
      </c>
      <c r="C9" s="0" t="s">
        <v>1178</v>
      </c>
      <c r="D9" s="0" t="s">
        <v>1167</v>
      </c>
    </row>
    <row r="10" customFormat="false" ht="15" hidden="false" customHeight="false" outlineLevel="0" collapsed="false">
      <c r="A10" s="0" t="s">
        <v>191</v>
      </c>
      <c r="B10" s="0" t="s">
        <v>1179</v>
      </c>
      <c r="C10" s="0" t="s">
        <v>1180</v>
      </c>
      <c r="D10" s="0" t="s">
        <v>1167</v>
      </c>
    </row>
    <row r="11" customFormat="false" ht="15" hidden="false" customHeight="false" outlineLevel="0" collapsed="false">
      <c r="A11" s="0" t="s">
        <v>225</v>
      </c>
      <c r="B11" s="0" t="s">
        <v>1181</v>
      </c>
      <c r="C11" s="0" t="s">
        <v>1174</v>
      </c>
      <c r="D11" s="0" t="s">
        <v>1164</v>
      </c>
    </row>
    <row r="12" customFormat="false" ht="15" hidden="false" customHeight="false" outlineLevel="0" collapsed="false">
      <c r="A12" s="0" t="s">
        <v>324</v>
      </c>
      <c r="B12" s="0" t="s">
        <v>1182</v>
      </c>
      <c r="C12" s="0" t="s">
        <v>1174</v>
      </c>
      <c r="D12" s="0" t="s">
        <v>1164</v>
      </c>
    </row>
    <row r="13" customFormat="false" ht="15" hidden="false" customHeight="false" outlineLevel="0" collapsed="false">
      <c r="A13" s="0" t="s">
        <v>67</v>
      </c>
      <c r="B13" s="0" t="s">
        <v>1183</v>
      </c>
      <c r="C13" s="0" t="s">
        <v>1184</v>
      </c>
      <c r="D13" s="0" t="s">
        <v>1172</v>
      </c>
    </row>
    <row r="14" customFormat="false" ht="15" hidden="false" customHeight="false" outlineLevel="0" collapsed="false">
      <c r="A14" s="0" t="s">
        <v>98</v>
      </c>
      <c r="B14" s="0" t="s">
        <v>1185</v>
      </c>
      <c r="C14" s="0" t="s">
        <v>1186</v>
      </c>
      <c r="D14" s="0" t="s">
        <v>1164</v>
      </c>
    </row>
    <row r="15" customFormat="false" ht="15" hidden="false" customHeight="false" outlineLevel="0" collapsed="false">
      <c r="A15" s="0" t="s">
        <v>39</v>
      </c>
      <c r="B15" s="0" t="s">
        <v>1187</v>
      </c>
      <c r="C15" s="0" t="s">
        <v>1188</v>
      </c>
      <c r="D15" s="0" t="s">
        <v>1164</v>
      </c>
    </row>
    <row r="16" customFormat="false" ht="15" hidden="false" customHeight="false" outlineLevel="0" collapsed="false">
      <c r="A16" s="0" t="s">
        <v>534</v>
      </c>
      <c r="B16" s="0" t="s">
        <v>1189</v>
      </c>
      <c r="C16" s="0" t="s">
        <v>1188</v>
      </c>
      <c r="D16" s="0" t="s">
        <v>1167</v>
      </c>
    </row>
    <row r="17" customFormat="false" ht="15" hidden="false" customHeight="false" outlineLevel="0" collapsed="false">
      <c r="A17" s="0" t="s">
        <v>243</v>
      </c>
      <c r="B17" s="0" t="s">
        <v>1190</v>
      </c>
      <c r="C17" s="0" t="s">
        <v>1184</v>
      </c>
      <c r="D17" s="0" t="s">
        <v>1172</v>
      </c>
    </row>
    <row r="18" customFormat="false" ht="15" hidden="false" customHeight="false" outlineLevel="0" collapsed="false">
      <c r="A18" s="0" t="s">
        <v>123</v>
      </c>
      <c r="B18" s="0" t="s">
        <v>1191</v>
      </c>
      <c r="C18" s="0" t="s">
        <v>1188</v>
      </c>
      <c r="D18" s="0" t="s">
        <v>1167</v>
      </c>
    </row>
    <row r="19" customFormat="false" ht="15" hidden="false" customHeight="false" outlineLevel="0" collapsed="false">
      <c r="A19" s="0" t="s">
        <v>291</v>
      </c>
      <c r="B19" s="0" t="s">
        <v>1192</v>
      </c>
      <c r="C19" s="0" t="s">
        <v>1186</v>
      </c>
      <c r="D19" s="0" t="s">
        <v>1164</v>
      </c>
    </row>
    <row r="20" customFormat="false" ht="15" hidden="false" customHeight="false" outlineLevel="0" collapsed="false">
      <c r="A20" s="0" t="s">
        <v>258</v>
      </c>
      <c r="B20" s="0" t="s">
        <v>1193</v>
      </c>
      <c r="C20" s="0" t="s">
        <v>1178</v>
      </c>
      <c r="D20" s="0" t="s">
        <v>1167</v>
      </c>
    </row>
    <row r="21" customFormat="false" ht="15" hidden="false" customHeight="false" outlineLevel="0" collapsed="false">
      <c r="A21" s="0" t="s">
        <v>485</v>
      </c>
      <c r="B21" s="0" t="s">
        <v>1194</v>
      </c>
      <c r="C21" s="0" t="s">
        <v>1166</v>
      </c>
      <c r="D21" s="0" t="s">
        <v>1164</v>
      </c>
    </row>
    <row r="22" customFormat="false" ht="15" hidden="false" customHeight="false" outlineLevel="0" collapsed="false">
      <c r="A22" s="0" t="s">
        <v>359</v>
      </c>
      <c r="B22" s="0" t="s">
        <v>1195</v>
      </c>
      <c r="C22" s="0" t="s">
        <v>1171</v>
      </c>
      <c r="D22" s="0" t="s">
        <v>1164</v>
      </c>
    </row>
    <row r="23" customFormat="false" ht="15" hidden="false" customHeight="false" outlineLevel="0" collapsed="false">
      <c r="A23" s="0" t="s">
        <v>695</v>
      </c>
      <c r="B23" s="0" t="s">
        <v>1196</v>
      </c>
      <c r="C23" s="0" t="s">
        <v>1186</v>
      </c>
      <c r="D23" s="0" t="s">
        <v>1172</v>
      </c>
    </row>
    <row r="24" customFormat="false" ht="15" hidden="false" customHeight="false" outlineLevel="0" collapsed="false">
      <c r="A24" s="0" t="s">
        <v>221</v>
      </c>
      <c r="B24" s="0" t="s">
        <v>1197</v>
      </c>
      <c r="C24" s="0" t="s">
        <v>1171</v>
      </c>
      <c r="D24" s="0" t="s">
        <v>1164</v>
      </c>
    </row>
    <row r="25" customFormat="false" ht="15" hidden="false" customHeight="false" outlineLevel="0" collapsed="false">
      <c r="A25" s="0" t="s">
        <v>178</v>
      </c>
      <c r="B25" s="0" t="s">
        <v>1198</v>
      </c>
      <c r="C25" s="0" t="s">
        <v>1163</v>
      </c>
      <c r="D25" s="0" t="s">
        <v>1167</v>
      </c>
    </row>
    <row r="26" customFormat="false" ht="15" hidden="false" customHeight="false" outlineLevel="0" collapsed="false">
      <c r="A26" s="0" t="s">
        <v>102</v>
      </c>
      <c r="B26" s="0" t="s">
        <v>1199</v>
      </c>
      <c r="C26" s="0" t="s">
        <v>1184</v>
      </c>
      <c r="D26" s="0" t="s">
        <v>1172</v>
      </c>
    </row>
    <row r="27" customFormat="false" ht="15" hidden="false" customHeight="false" outlineLevel="0" collapsed="false">
      <c r="A27" s="0" t="s">
        <v>273</v>
      </c>
      <c r="B27" s="0" t="s">
        <v>1200</v>
      </c>
      <c r="C27" s="0" t="s">
        <v>1184</v>
      </c>
      <c r="D27" s="0" t="s">
        <v>1172</v>
      </c>
    </row>
    <row r="28" customFormat="false" ht="15" hidden="false" customHeight="false" outlineLevel="0" collapsed="false">
      <c r="A28" s="0" t="s">
        <v>296</v>
      </c>
      <c r="B28" s="0" t="s">
        <v>1201</v>
      </c>
      <c r="C28" s="0" t="s">
        <v>1186</v>
      </c>
      <c r="D28" s="0" t="s">
        <v>1164</v>
      </c>
    </row>
    <row r="29" customFormat="false" ht="15" hidden="false" customHeight="false" outlineLevel="0" collapsed="false">
      <c r="A29" s="0" t="s">
        <v>86</v>
      </c>
      <c r="B29" s="0" t="s">
        <v>1202</v>
      </c>
      <c r="C29" s="0" t="s">
        <v>1178</v>
      </c>
      <c r="D29" s="0" t="s">
        <v>1167</v>
      </c>
    </row>
    <row r="30" customFormat="false" ht="15" hidden="false" customHeight="false" outlineLevel="0" collapsed="false">
      <c r="A30" s="0" t="s">
        <v>203</v>
      </c>
      <c r="B30" s="0" t="s">
        <v>1203</v>
      </c>
      <c r="C30" s="0" t="s">
        <v>1184</v>
      </c>
      <c r="D30" s="0" t="s">
        <v>1172</v>
      </c>
    </row>
    <row r="31" customFormat="false" ht="15" hidden="false" customHeight="false" outlineLevel="0" collapsed="false">
      <c r="A31" s="0" t="s">
        <v>49</v>
      </c>
      <c r="B31" s="0" t="s">
        <v>1204</v>
      </c>
      <c r="C31" s="0" t="s">
        <v>1166</v>
      </c>
      <c r="D31" s="0" t="s">
        <v>1167</v>
      </c>
    </row>
    <row r="32" customFormat="false" ht="15" hidden="false" customHeight="false" outlineLevel="0" collapsed="false">
      <c r="A32" s="0" t="s">
        <v>81</v>
      </c>
      <c r="B32" s="0" t="s">
        <v>1205</v>
      </c>
      <c r="C32" s="0" t="s">
        <v>1186</v>
      </c>
      <c r="D32" s="0" t="s">
        <v>1172</v>
      </c>
    </row>
    <row r="33" customFormat="false" ht="15" hidden="false" customHeight="false" outlineLevel="0" collapsed="false">
      <c r="A33" s="0" t="s">
        <v>104</v>
      </c>
      <c r="B33" s="0" t="s">
        <v>1206</v>
      </c>
      <c r="C33" s="0" t="s">
        <v>1180</v>
      </c>
      <c r="D33" s="0" t="s">
        <v>1167</v>
      </c>
    </row>
    <row r="34" customFormat="false" ht="15" hidden="false" customHeight="false" outlineLevel="0" collapsed="false">
      <c r="A34" s="0" t="s">
        <v>128</v>
      </c>
      <c r="B34" s="0" t="s">
        <v>1207</v>
      </c>
      <c r="C34" s="0" t="s">
        <v>1166</v>
      </c>
      <c r="D34" s="0" t="s">
        <v>1172</v>
      </c>
    </row>
    <row r="35" customFormat="false" ht="15" hidden="false" customHeight="false" outlineLevel="0" collapsed="false">
      <c r="A35" s="0" t="s">
        <v>447</v>
      </c>
      <c r="B35" s="0" t="s">
        <v>1208</v>
      </c>
      <c r="C35" s="0" t="s">
        <v>1166</v>
      </c>
      <c r="D35" s="0" t="s">
        <v>1167</v>
      </c>
    </row>
    <row r="36" customFormat="false" ht="15" hidden="false" customHeight="false" outlineLevel="0" collapsed="false">
      <c r="A36" s="0" t="s">
        <v>195</v>
      </c>
      <c r="B36" s="0" t="s">
        <v>1209</v>
      </c>
      <c r="C36" s="0" t="s">
        <v>1186</v>
      </c>
      <c r="D36" s="0" t="s">
        <v>1167</v>
      </c>
    </row>
    <row r="37" customFormat="false" ht="15" hidden="false" customHeight="false" outlineLevel="0" collapsed="false">
      <c r="A37" s="0" t="s">
        <v>20</v>
      </c>
      <c r="B37" s="0" t="s">
        <v>1193</v>
      </c>
      <c r="C37" s="0" t="s">
        <v>1171</v>
      </c>
      <c r="D37" s="0" t="s">
        <v>1167</v>
      </c>
    </row>
    <row r="38" customFormat="false" ht="15" hidden="false" customHeight="false" outlineLevel="0" collapsed="false">
      <c r="A38" s="0" t="s">
        <v>154</v>
      </c>
      <c r="B38" s="0" t="s">
        <v>1210</v>
      </c>
      <c r="C38" s="0" t="s">
        <v>1180</v>
      </c>
      <c r="D38" s="0" t="s">
        <v>1164</v>
      </c>
    </row>
    <row r="39" customFormat="false" ht="15" hidden="false" customHeight="false" outlineLevel="0" collapsed="false">
      <c r="A39" s="0" t="s">
        <v>246</v>
      </c>
      <c r="B39" s="0" t="s">
        <v>1211</v>
      </c>
      <c r="C39" s="0" t="s">
        <v>1186</v>
      </c>
      <c r="D39" s="0" t="s">
        <v>1167</v>
      </c>
    </row>
    <row r="40" customFormat="false" ht="15" hidden="false" customHeight="false" outlineLevel="0" collapsed="false">
      <c r="A40" s="0" t="s">
        <v>217</v>
      </c>
      <c r="B40" s="0" t="s">
        <v>1212</v>
      </c>
      <c r="C40" s="0" t="s">
        <v>1163</v>
      </c>
      <c r="D40" s="0" t="s">
        <v>1167</v>
      </c>
    </row>
    <row r="41" customFormat="false" ht="15" hidden="false" customHeight="false" outlineLevel="0" collapsed="false">
      <c r="A41" s="0" t="s">
        <v>351</v>
      </c>
      <c r="B41" s="0" t="s">
        <v>1213</v>
      </c>
      <c r="C41" s="0" t="s">
        <v>1163</v>
      </c>
      <c r="D41" s="0" t="s">
        <v>1167</v>
      </c>
    </row>
    <row r="42" customFormat="false" ht="15" hidden="false" customHeight="false" outlineLevel="0" collapsed="false">
      <c r="A42" s="0" t="s">
        <v>239</v>
      </c>
      <c r="B42" s="0" t="s">
        <v>1214</v>
      </c>
      <c r="C42" s="0" t="s">
        <v>1180</v>
      </c>
      <c r="D42" s="0" t="s">
        <v>1164</v>
      </c>
    </row>
    <row r="43" customFormat="false" ht="15" hidden="false" customHeight="false" outlineLevel="0" collapsed="false">
      <c r="A43" s="0" t="s">
        <v>150</v>
      </c>
      <c r="B43" s="0" t="s">
        <v>1215</v>
      </c>
      <c r="C43" s="0" t="s">
        <v>1166</v>
      </c>
      <c r="D43" s="0" t="s">
        <v>1167</v>
      </c>
    </row>
    <row r="44" customFormat="false" ht="15" hidden="false" customHeight="false" outlineLevel="0" collapsed="false">
      <c r="A44" s="0" t="s">
        <v>256</v>
      </c>
      <c r="B44" s="0" t="s">
        <v>1216</v>
      </c>
      <c r="C44" s="0" t="s">
        <v>1180</v>
      </c>
      <c r="D44" s="0" t="s">
        <v>1172</v>
      </c>
    </row>
    <row r="45" customFormat="false" ht="15" hidden="false" customHeight="false" outlineLevel="0" collapsed="false">
      <c r="A45" s="0" t="s">
        <v>309</v>
      </c>
      <c r="B45" s="0" t="s">
        <v>1217</v>
      </c>
      <c r="C45" s="0" t="s">
        <v>1169</v>
      </c>
      <c r="D45" s="0" t="s">
        <v>1167</v>
      </c>
    </row>
    <row r="46" customFormat="false" ht="15" hidden="false" customHeight="false" outlineLevel="0" collapsed="false">
      <c r="A46" s="0" t="s">
        <v>141</v>
      </c>
      <c r="B46" s="0" t="s">
        <v>1218</v>
      </c>
      <c r="C46" s="0" t="s">
        <v>1174</v>
      </c>
      <c r="D46" s="0" t="s">
        <v>1167</v>
      </c>
    </row>
    <row r="47" customFormat="false" ht="15" hidden="false" customHeight="false" outlineLevel="0" collapsed="false">
      <c r="A47" s="0" t="s">
        <v>135</v>
      </c>
      <c r="B47" s="0" t="s">
        <v>1219</v>
      </c>
      <c r="C47" s="0" t="s">
        <v>1184</v>
      </c>
      <c r="D47" s="0" t="s">
        <v>1172</v>
      </c>
    </row>
    <row r="48" customFormat="false" ht="15" hidden="false" customHeight="false" outlineLevel="0" collapsed="false">
      <c r="A48" s="0" t="s">
        <v>193</v>
      </c>
      <c r="B48" s="0" t="s">
        <v>1220</v>
      </c>
      <c r="C48" s="0" t="s">
        <v>1169</v>
      </c>
      <c r="D48" s="0" t="s">
        <v>1164</v>
      </c>
    </row>
    <row r="49" customFormat="false" ht="15" hidden="false" customHeight="false" outlineLevel="0" collapsed="false">
      <c r="A49" s="0" t="s">
        <v>317</v>
      </c>
      <c r="B49" s="0" t="s">
        <v>1221</v>
      </c>
      <c r="C49" s="0" t="s">
        <v>1184</v>
      </c>
      <c r="D49" s="0" t="s">
        <v>1167</v>
      </c>
    </row>
    <row r="50" customFormat="false" ht="15" hidden="false" customHeight="false" outlineLevel="0" collapsed="false">
      <c r="A50" s="0" t="s">
        <v>58</v>
      </c>
      <c r="B50" s="0" t="s">
        <v>1222</v>
      </c>
      <c r="C50" s="0" t="s">
        <v>1178</v>
      </c>
      <c r="D50" s="0" t="s">
        <v>1172</v>
      </c>
    </row>
    <row r="51" customFormat="false" ht="15" hidden="false" customHeight="false" outlineLevel="0" collapsed="false">
      <c r="A51" s="0" t="s">
        <v>536</v>
      </c>
      <c r="B51" s="0" t="s">
        <v>1223</v>
      </c>
      <c r="C51" s="0" t="s">
        <v>1188</v>
      </c>
      <c r="D51" s="0" t="s">
        <v>1167</v>
      </c>
    </row>
    <row r="52" customFormat="false" ht="15" hidden="false" customHeight="false" outlineLevel="0" collapsed="false">
      <c r="A52" s="0" t="s">
        <v>120</v>
      </c>
      <c r="B52" s="0" t="s">
        <v>1224</v>
      </c>
      <c r="C52" s="0" t="s">
        <v>1174</v>
      </c>
      <c r="D52" s="0" t="s">
        <v>1164</v>
      </c>
    </row>
    <row r="53" customFormat="false" ht="15" hidden="false" customHeight="false" outlineLevel="0" collapsed="false">
      <c r="A53" s="0" t="s">
        <v>61</v>
      </c>
      <c r="B53" s="0" t="s">
        <v>1225</v>
      </c>
      <c r="C53" s="0" t="s">
        <v>1169</v>
      </c>
      <c r="D53" s="0" t="s">
        <v>1164</v>
      </c>
    </row>
    <row r="54" customFormat="false" ht="15" hidden="false" customHeight="false" outlineLevel="0" collapsed="false">
      <c r="A54" s="0" t="s">
        <v>237</v>
      </c>
      <c r="B54" s="0" t="s">
        <v>1226</v>
      </c>
      <c r="C54" s="0" t="s">
        <v>1184</v>
      </c>
      <c r="D54" s="0" t="s">
        <v>1164</v>
      </c>
    </row>
    <row r="55" customFormat="false" ht="15" hidden="false" customHeight="false" outlineLevel="0" collapsed="false">
      <c r="A55" s="0" t="s">
        <v>322</v>
      </c>
      <c r="B55" s="0" t="s">
        <v>1227</v>
      </c>
      <c r="C55" s="0" t="s">
        <v>1178</v>
      </c>
      <c r="D55" s="0" t="s">
        <v>1164</v>
      </c>
    </row>
    <row r="56" customFormat="false" ht="15" hidden="false" customHeight="false" outlineLevel="0" collapsed="false">
      <c r="A56" s="0" t="s">
        <v>25</v>
      </c>
      <c r="B56" s="0" t="s">
        <v>1213</v>
      </c>
      <c r="C56" s="0" t="s">
        <v>1166</v>
      </c>
      <c r="D56" s="0" t="s">
        <v>1172</v>
      </c>
    </row>
    <row r="57" customFormat="false" ht="15" hidden="false" customHeight="false" outlineLevel="0" collapsed="false">
      <c r="A57" s="0" t="s">
        <v>489</v>
      </c>
      <c r="B57" s="0" t="s">
        <v>1228</v>
      </c>
      <c r="C57" s="0" t="s">
        <v>1178</v>
      </c>
      <c r="D57" s="0" t="s">
        <v>1164</v>
      </c>
    </row>
    <row r="58" customFormat="false" ht="15" hidden="false" customHeight="false" outlineLevel="0" collapsed="false">
      <c r="A58" s="0" t="s">
        <v>271</v>
      </c>
      <c r="B58" s="0" t="s">
        <v>1229</v>
      </c>
      <c r="C58" s="0" t="s">
        <v>1184</v>
      </c>
      <c r="D58" s="0" t="s">
        <v>1164</v>
      </c>
    </row>
    <row r="59" customFormat="false" ht="15" hidden="false" customHeight="false" outlineLevel="0" collapsed="false">
      <c r="A59" s="0" t="s">
        <v>90</v>
      </c>
      <c r="B59" s="0" t="s">
        <v>1230</v>
      </c>
      <c r="C59" s="0" t="s">
        <v>1184</v>
      </c>
      <c r="D59" s="0" t="s">
        <v>1172</v>
      </c>
    </row>
    <row r="60" customFormat="false" ht="15" hidden="false" customHeight="false" outlineLevel="0" collapsed="false">
      <c r="A60" s="0" t="s">
        <v>63</v>
      </c>
      <c r="B60" s="0" t="s">
        <v>1231</v>
      </c>
      <c r="C60" s="0" t="s">
        <v>1166</v>
      </c>
      <c r="D60" s="0" t="s">
        <v>1167</v>
      </c>
    </row>
    <row r="61" customFormat="false" ht="15" hidden="false" customHeight="false" outlineLevel="0" collapsed="false">
      <c r="A61" s="0" t="s">
        <v>163</v>
      </c>
      <c r="B61" s="0" t="s">
        <v>1232</v>
      </c>
      <c r="C61" s="0" t="s">
        <v>1178</v>
      </c>
      <c r="D61" s="0" t="s">
        <v>1167</v>
      </c>
    </row>
    <row r="62" customFormat="false" ht="15" hidden="false" customHeight="false" outlineLevel="0" collapsed="false">
      <c r="A62" s="0" t="s">
        <v>223</v>
      </c>
      <c r="B62" s="0" t="s">
        <v>1233</v>
      </c>
      <c r="C62" s="0" t="s">
        <v>1184</v>
      </c>
      <c r="D62" s="0" t="s">
        <v>1167</v>
      </c>
    </row>
    <row r="63" customFormat="false" ht="15" hidden="false" customHeight="false" outlineLevel="0" collapsed="false">
      <c r="A63" s="0" t="s">
        <v>213</v>
      </c>
      <c r="B63" s="0" t="s">
        <v>1234</v>
      </c>
      <c r="C63" s="0" t="s">
        <v>1188</v>
      </c>
      <c r="D63" s="0" t="s">
        <v>1172</v>
      </c>
    </row>
    <row r="64" customFormat="false" ht="15" hidden="false" customHeight="false" outlineLevel="0" collapsed="false">
      <c r="A64" s="0" t="s">
        <v>96</v>
      </c>
      <c r="B64" s="0" t="s">
        <v>1235</v>
      </c>
      <c r="C64" s="0" t="s">
        <v>1169</v>
      </c>
      <c r="D64" s="0" t="s">
        <v>1164</v>
      </c>
    </row>
    <row r="65" customFormat="false" ht="15" hidden="false" customHeight="false" outlineLevel="0" collapsed="false">
      <c r="A65" s="0" t="s">
        <v>411</v>
      </c>
      <c r="B65" s="0" t="s">
        <v>1236</v>
      </c>
      <c r="C65" s="0" t="s">
        <v>1186</v>
      </c>
      <c r="D65" s="0" t="s">
        <v>1172</v>
      </c>
    </row>
    <row r="66" customFormat="false" ht="15" hidden="false" customHeight="false" outlineLevel="0" collapsed="false">
      <c r="A66" s="0" t="s">
        <v>302</v>
      </c>
      <c r="B66" s="0" t="s">
        <v>1237</v>
      </c>
      <c r="C66" s="0" t="s">
        <v>1163</v>
      </c>
      <c r="D66" s="0" t="s">
        <v>1164</v>
      </c>
    </row>
    <row r="67" customFormat="false" ht="15" hidden="false" customHeight="false" outlineLevel="0" collapsed="false">
      <c r="A67" s="0" t="s">
        <v>114</v>
      </c>
      <c r="B67" s="0" t="s">
        <v>1238</v>
      </c>
      <c r="C67" s="0" t="s">
        <v>1180</v>
      </c>
      <c r="D67" s="0" t="s">
        <v>1164</v>
      </c>
    </row>
    <row r="68" customFormat="false" ht="15" hidden="false" customHeight="false" outlineLevel="0" collapsed="false">
      <c r="A68" s="0" t="s">
        <v>234</v>
      </c>
      <c r="B68" s="0" t="s">
        <v>1239</v>
      </c>
      <c r="C68" s="0" t="s">
        <v>1166</v>
      </c>
      <c r="D68" s="0" t="s">
        <v>1164</v>
      </c>
    </row>
    <row r="69" customFormat="false" ht="15" hidden="false" customHeight="false" outlineLevel="0" collapsed="false">
      <c r="A69" s="0" t="s">
        <v>165</v>
      </c>
      <c r="B69" s="0" t="s">
        <v>1237</v>
      </c>
      <c r="C69" s="0" t="s">
        <v>1171</v>
      </c>
      <c r="D69" s="0" t="s">
        <v>1164</v>
      </c>
    </row>
    <row r="70" customFormat="false" ht="15" hidden="false" customHeight="false" outlineLevel="0" collapsed="false">
      <c r="A70" s="0" t="s">
        <v>286</v>
      </c>
      <c r="B70" s="0" t="s">
        <v>1222</v>
      </c>
      <c r="C70" s="0" t="s">
        <v>1186</v>
      </c>
      <c r="D70" s="0" t="s">
        <v>1172</v>
      </c>
    </row>
    <row r="71" customFormat="false" ht="15" hidden="false" customHeight="false" outlineLevel="0" collapsed="false">
      <c r="A71" s="0" t="s">
        <v>106</v>
      </c>
      <c r="B71" s="0" t="s">
        <v>1218</v>
      </c>
      <c r="C71" s="0" t="s">
        <v>1174</v>
      </c>
      <c r="D71" s="0" t="s">
        <v>1172</v>
      </c>
    </row>
    <row r="72" customFormat="false" ht="15" hidden="false" customHeight="false" outlineLevel="0" collapsed="false">
      <c r="A72" s="0" t="s">
        <v>205</v>
      </c>
      <c r="B72" s="0" t="s">
        <v>1238</v>
      </c>
      <c r="C72" s="0" t="s">
        <v>1184</v>
      </c>
      <c r="D72" s="0" t="s">
        <v>1167</v>
      </c>
    </row>
    <row r="73" customFormat="false" ht="15" hidden="false" customHeight="false" outlineLevel="0" collapsed="false">
      <c r="A73" s="0" t="s">
        <v>30</v>
      </c>
      <c r="B73" s="0" t="s">
        <v>1240</v>
      </c>
      <c r="C73" s="0" t="s">
        <v>1188</v>
      </c>
      <c r="D73" s="0" t="s">
        <v>1167</v>
      </c>
    </row>
    <row r="74" customFormat="false" ht="15" hidden="false" customHeight="false" outlineLevel="0" collapsed="false">
      <c r="A74" s="0" t="s">
        <v>276</v>
      </c>
      <c r="B74" s="0" t="s">
        <v>1241</v>
      </c>
      <c r="C74" s="0" t="s">
        <v>1184</v>
      </c>
      <c r="D74" s="0" t="s">
        <v>1164</v>
      </c>
    </row>
    <row r="75" customFormat="false" ht="15" hidden="false" customHeight="false" outlineLevel="0" collapsed="false">
      <c r="A75" s="0" t="s">
        <v>254</v>
      </c>
      <c r="B75" s="0" t="s">
        <v>1242</v>
      </c>
      <c r="C75" s="0" t="s">
        <v>1186</v>
      </c>
      <c r="D75" s="0" t="s">
        <v>1167</v>
      </c>
    </row>
    <row r="76" customFormat="false" ht="15" hidden="false" customHeight="false" outlineLevel="0" collapsed="false">
      <c r="A76" s="0" t="s">
        <v>118</v>
      </c>
      <c r="B76" s="0" t="s">
        <v>1209</v>
      </c>
      <c r="C76" s="0" t="s">
        <v>1166</v>
      </c>
      <c r="D76" s="0" t="s">
        <v>1164</v>
      </c>
    </row>
    <row r="77" customFormat="false" ht="15" hidden="false" customHeight="false" outlineLevel="0" collapsed="false">
      <c r="A77" s="0" t="s">
        <v>335</v>
      </c>
      <c r="B77" s="0" t="s">
        <v>1243</v>
      </c>
      <c r="C77" s="0" t="s">
        <v>1174</v>
      </c>
      <c r="D77" s="0" t="s">
        <v>1164</v>
      </c>
    </row>
    <row r="78" customFormat="false" ht="15" hidden="false" customHeight="false" outlineLevel="0" collapsed="false">
      <c r="A78" s="0" t="s">
        <v>70</v>
      </c>
      <c r="B78" s="0" t="s">
        <v>1199</v>
      </c>
      <c r="C78" s="0" t="s">
        <v>1174</v>
      </c>
      <c r="D78" s="0" t="s">
        <v>1164</v>
      </c>
    </row>
    <row r="79" customFormat="false" ht="15" hidden="false" customHeight="false" outlineLevel="0" collapsed="false">
      <c r="A79" s="0" t="s">
        <v>185</v>
      </c>
      <c r="B79" s="0" t="s">
        <v>1244</v>
      </c>
      <c r="C79" s="0" t="s">
        <v>1166</v>
      </c>
      <c r="D79" s="0" t="s">
        <v>1172</v>
      </c>
    </row>
    <row r="80" customFormat="false" ht="15" hidden="false" customHeight="false" outlineLevel="0" collapsed="false">
      <c r="A80" s="0" t="s">
        <v>198</v>
      </c>
      <c r="B80" s="0" t="s">
        <v>1245</v>
      </c>
      <c r="C80" s="0" t="s">
        <v>1174</v>
      </c>
      <c r="D80" s="0" t="s">
        <v>1167</v>
      </c>
    </row>
    <row r="81" customFormat="false" ht="15" hidden="false" customHeight="false" outlineLevel="0" collapsed="false">
      <c r="A81" s="0" t="s">
        <v>46</v>
      </c>
      <c r="B81" s="0" t="s">
        <v>1246</v>
      </c>
      <c r="C81" s="0" t="s">
        <v>1166</v>
      </c>
      <c r="D81" s="0" t="s">
        <v>1167</v>
      </c>
    </row>
    <row r="82" customFormat="false" ht="15" hidden="false" customHeight="false" outlineLevel="0" collapsed="false">
      <c r="A82" s="0" t="s">
        <v>261</v>
      </c>
      <c r="B82" s="0" t="s">
        <v>1229</v>
      </c>
      <c r="C82" s="0" t="s">
        <v>1171</v>
      </c>
      <c r="D82" s="0" t="s">
        <v>1172</v>
      </c>
    </row>
    <row r="83" customFormat="false" ht="15" hidden="false" customHeight="false" outlineLevel="0" collapsed="false">
      <c r="A83" s="0" t="s">
        <v>53</v>
      </c>
      <c r="B83" s="0" t="s">
        <v>1225</v>
      </c>
      <c r="C83" s="0" t="s">
        <v>1163</v>
      </c>
      <c r="D83" s="0" t="s">
        <v>1164</v>
      </c>
    </row>
    <row r="84" customFormat="false" ht="15" hidden="false" customHeight="false" outlineLevel="0" collapsed="false">
      <c r="A84" s="0" t="s">
        <v>227</v>
      </c>
      <c r="B84" s="0" t="s">
        <v>1247</v>
      </c>
      <c r="C84" s="0" t="s">
        <v>1178</v>
      </c>
      <c r="D84" s="0" t="s">
        <v>1172</v>
      </c>
    </row>
    <row r="85" customFormat="false" ht="15" hidden="false" customHeight="false" outlineLevel="0" collapsed="false">
      <c r="A85" s="0" t="s">
        <v>684</v>
      </c>
      <c r="B85" s="0" t="s">
        <v>1199</v>
      </c>
      <c r="C85" s="0" t="s">
        <v>1163</v>
      </c>
      <c r="D85" s="0" t="s">
        <v>1164</v>
      </c>
    </row>
    <row r="86" customFormat="false" ht="15" hidden="false" customHeight="false" outlineLevel="0" collapsed="false">
      <c r="A86" s="0" t="s">
        <v>251</v>
      </c>
      <c r="B86" s="0" t="s">
        <v>1248</v>
      </c>
      <c r="C86" s="0" t="s">
        <v>1166</v>
      </c>
      <c r="D86" s="0" t="s">
        <v>1167</v>
      </c>
    </row>
    <row r="87" customFormat="false" ht="15" hidden="false" customHeight="false" outlineLevel="0" collapsed="false">
      <c r="A87" s="0" t="s">
        <v>269</v>
      </c>
      <c r="B87" s="0" t="s">
        <v>1249</v>
      </c>
      <c r="C87" s="0" t="s">
        <v>1171</v>
      </c>
      <c r="D87" s="0" t="s">
        <v>1167</v>
      </c>
    </row>
    <row r="88" customFormat="false" ht="15" hidden="false" customHeight="false" outlineLevel="0" collapsed="false">
      <c r="A88" s="0" t="s">
        <v>152</v>
      </c>
      <c r="B88" s="0" t="s">
        <v>1250</v>
      </c>
      <c r="C88" s="0" t="s">
        <v>1174</v>
      </c>
      <c r="D88" s="0" t="s">
        <v>1172</v>
      </c>
    </row>
    <row r="89" customFormat="false" ht="15" hidden="false" customHeight="false" outlineLevel="0" collapsed="false">
      <c r="A89" s="0" t="s">
        <v>74</v>
      </c>
      <c r="B89" s="0" t="s">
        <v>1235</v>
      </c>
      <c r="C89" s="0" t="s">
        <v>1180</v>
      </c>
      <c r="D89" s="0" t="s">
        <v>1164</v>
      </c>
    </row>
    <row r="90" customFormat="false" ht="15" hidden="false" customHeight="false" outlineLevel="0" collapsed="false">
      <c r="A90" s="0" t="s">
        <v>161</v>
      </c>
      <c r="B90" s="0" t="s">
        <v>1251</v>
      </c>
      <c r="C90" s="0" t="s">
        <v>1180</v>
      </c>
      <c r="D90" s="0" t="s">
        <v>1172</v>
      </c>
    </row>
    <row r="91" customFormat="false" ht="15" hidden="false" customHeight="false" outlineLevel="0" collapsed="false">
      <c r="A91" s="0" t="s">
        <v>55</v>
      </c>
      <c r="B91" s="0" t="s">
        <v>1239</v>
      </c>
      <c r="C91" s="0" t="s">
        <v>1184</v>
      </c>
      <c r="D91" s="0" t="s">
        <v>1172</v>
      </c>
    </row>
    <row r="92" customFormat="false" ht="15" hidden="false" customHeight="false" outlineLevel="0" collapsed="false">
      <c r="A92" s="0" t="s">
        <v>346</v>
      </c>
      <c r="B92" s="0" t="s">
        <v>1252</v>
      </c>
      <c r="C92" s="0" t="s">
        <v>1169</v>
      </c>
      <c r="D92" s="0" t="s">
        <v>1167</v>
      </c>
    </row>
    <row r="93" customFormat="false" ht="15" hidden="false" customHeight="false" outlineLevel="0" collapsed="false">
      <c r="A93" s="0" t="s">
        <v>375</v>
      </c>
      <c r="B93" s="0" t="s">
        <v>1162</v>
      </c>
      <c r="C93" s="0" t="s">
        <v>1171</v>
      </c>
      <c r="D93" s="0" t="s">
        <v>1167</v>
      </c>
    </row>
    <row r="94" customFormat="false" ht="15" hidden="false" customHeight="false" outlineLevel="0" collapsed="false">
      <c r="A94" s="0" t="s">
        <v>284</v>
      </c>
      <c r="B94" s="0" t="s">
        <v>1239</v>
      </c>
      <c r="C94" s="0" t="s">
        <v>1184</v>
      </c>
      <c r="D94" s="0" t="s">
        <v>1164</v>
      </c>
    </row>
    <row r="95" customFormat="false" ht="15" hidden="false" customHeight="false" outlineLevel="0" collapsed="false">
      <c r="A95" s="0" t="s">
        <v>42</v>
      </c>
      <c r="B95" s="0" t="s">
        <v>1194</v>
      </c>
      <c r="C95" s="0" t="s">
        <v>1166</v>
      </c>
      <c r="D95" s="0" t="s">
        <v>1164</v>
      </c>
    </row>
    <row r="96" customFormat="false" ht="15" hidden="false" customHeight="false" outlineLevel="0" collapsed="false">
      <c r="A96" s="0" t="s">
        <v>219</v>
      </c>
      <c r="B96" s="0" t="s">
        <v>1231</v>
      </c>
      <c r="C96" s="0" t="s">
        <v>1188</v>
      </c>
      <c r="D96" s="0" t="s">
        <v>1164</v>
      </c>
    </row>
    <row r="97" customFormat="false" ht="15" hidden="false" customHeight="false" outlineLevel="0" collapsed="false">
      <c r="A97" s="0" t="s">
        <v>65</v>
      </c>
      <c r="B97" s="0" t="s">
        <v>1170</v>
      </c>
      <c r="C97" s="0" t="s">
        <v>1184</v>
      </c>
      <c r="D97" s="0" t="s">
        <v>1167</v>
      </c>
    </row>
    <row r="98" customFormat="false" ht="15" hidden="false" customHeight="false" outlineLevel="0" collapsed="false">
      <c r="A98" s="0" t="s">
        <v>182</v>
      </c>
      <c r="B98" s="0" t="s">
        <v>1253</v>
      </c>
      <c r="C98" s="0" t="s">
        <v>1186</v>
      </c>
      <c r="D98" s="0" t="s">
        <v>1172</v>
      </c>
    </row>
    <row r="99" customFormat="false" ht="15" hidden="false" customHeight="false" outlineLevel="0" collapsed="false">
      <c r="A99" s="0" t="s">
        <v>33</v>
      </c>
      <c r="B99" s="0" t="s">
        <v>1254</v>
      </c>
      <c r="C99" s="0" t="s">
        <v>1166</v>
      </c>
      <c r="D99" s="0" t="s">
        <v>1172</v>
      </c>
    </row>
    <row r="100" customFormat="false" ht="15" hidden="false" customHeight="false" outlineLevel="0" collapsed="false">
      <c r="A100" s="0" t="s">
        <v>84</v>
      </c>
      <c r="B100" s="0" t="s">
        <v>1189</v>
      </c>
      <c r="C100" s="0" t="s">
        <v>1174</v>
      </c>
      <c r="D100" s="0" t="s">
        <v>1167</v>
      </c>
    </row>
    <row r="101" customFormat="false" ht="15" hidden="false" customHeight="false" outlineLevel="0" collapsed="false">
      <c r="A101" s="0" t="s">
        <v>337</v>
      </c>
      <c r="B101" s="0" t="s">
        <v>1203</v>
      </c>
      <c r="C101" s="0" t="s">
        <v>1180</v>
      </c>
      <c r="D101" s="0" t="s">
        <v>1167</v>
      </c>
    </row>
    <row r="102" customFormat="false" ht="15" hidden="false" customHeight="false" outlineLevel="0" collapsed="false">
      <c r="A102" s="0" t="s">
        <v>139</v>
      </c>
      <c r="B102" s="0" t="s">
        <v>1255</v>
      </c>
      <c r="C102" s="0" t="s">
        <v>1171</v>
      </c>
      <c r="D102" s="0" t="s">
        <v>1167</v>
      </c>
    </row>
    <row r="103" customFormat="false" ht="15" hidden="false" customHeight="false" outlineLevel="0" collapsed="false">
      <c r="A103" s="0" t="s">
        <v>551</v>
      </c>
      <c r="B103" s="0" t="s">
        <v>1220</v>
      </c>
      <c r="C103" s="0" t="s">
        <v>1180</v>
      </c>
      <c r="D103" s="0" t="s">
        <v>1167</v>
      </c>
    </row>
    <row r="104" customFormat="false" ht="15" hidden="false" customHeight="false" outlineLevel="0" collapsed="false">
      <c r="A104" s="0" t="s">
        <v>379</v>
      </c>
      <c r="B104" s="0" t="s">
        <v>1185</v>
      </c>
      <c r="C104" s="0" t="s">
        <v>1178</v>
      </c>
      <c r="D104" s="0" t="s">
        <v>1167</v>
      </c>
    </row>
    <row r="105" customFormat="false" ht="15" hidden="false" customHeight="false" outlineLevel="0" collapsed="false">
      <c r="A105" s="0" t="s">
        <v>189</v>
      </c>
      <c r="B105" s="0" t="s">
        <v>1256</v>
      </c>
      <c r="C105" s="0" t="s">
        <v>1174</v>
      </c>
      <c r="D105" s="0" t="s">
        <v>1164</v>
      </c>
    </row>
    <row r="106" customFormat="false" ht="15" hidden="false" customHeight="false" outlineLevel="0" collapsed="false">
      <c r="A106" s="0" t="s">
        <v>373</v>
      </c>
      <c r="B106" s="0" t="s">
        <v>1257</v>
      </c>
      <c r="C106" s="0" t="s">
        <v>1174</v>
      </c>
      <c r="D106" s="0" t="s">
        <v>1172</v>
      </c>
    </row>
    <row r="107" customFormat="false" ht="15" hidden="false" customHeight="false" outlineLevel="0" collapsed="false">
      <c r="A107" s="0" t="s">
        <v>426</v>
      </c>
      <c r="B107" s="0" t="s">
        <v>1258</v>
      </c>
      <c r="C107" s="0" t="s">
        <v>1174</v>
      </c>
      <c r="D107" s="0" t="s">
        <v>1172</v>
      </c>
    </row>
    <row r="108" customFormat="false" ht="15" hidden="false" customHeight="false" outlineLevel="0" collapsed="false">
      <c r="A108" s="0" t="s">
        <v>125</v>
      </c>
      <c r="B108" s="0" t="s">
        <v>1259</v>
      </c>
      <c r="C108" s="0" t="s">
        <v>1180</v>
      </c>
      <c r="D108" s="0" t="s">
        <v>1167</v>
      </c>
    </row>
    <row r="109" customFormat="false" ht="15" hidden="false" customHeight="false" outlineLevel="0" collapsed="false">
      <c r="A109" s="0" t="s">
        <v>77</v>
      </c>
      <c r="B109" s="0" t="s">
        <v>1260</v>
      </c>
      <c r="C109" s="0" t="s">
        <v>1188</v>
      </c>
      <c r="D109" s="0" t="s">
        <v>1167</v>
      </c>
    </row>
    <row r="110" customFormat="false" ht="15" hidden="false" customHeight="false" outlineLevel="0" collapsed="false">
      <c r="A110" s="0" t="s">
        <v>304</v>
      </c>
      <c r="B110" s="0" t="s">
        <v>1261</v>
      </c>
      <c r="C110" s="0" t="s">
        <v>1169</v>
      </c>
      <c r="D110" s="0" t="s">
        <v>1164</v>
      </c>
    </row>
    <row r="111" customFormat="false" ht="15" hidden="false" customHeight="false" outlineLevel="0" collapsed="false">
      <c r="A111" s="0" t="s">
        <v>174</v>
      </c>
      <c r="B111" s="0" t="s">
        <v>1262</v>
      </c>
      <c r="C111" s="0" t="s">
        <v>1180</v>
      </c>
      <c r="D111" s="0" t="s">
        <v>1167</v>
      </c>
    </row>
    <row r="112" customFormat="false" ht="15" hidden="false" customHeight="false" outlineLevel="0" collapsed="false">
      <c r="A112" s="0" t="s">
        <v>548</v>
      </c>
      <c r="B112" s="0" t="s">
        <v>1207</v>
      </c>
      <c r="C112" s="0" t="s">
        <v>1169</v>
      </c>
      <c r="D112" s="0" t="s">
        <v>1172</v>
      </c>
    </row>
    <row r="113" customFormat="false" ht="15" hidden="false" customHeight="false" outlineLevel="0" collapsed="false">
      <c r="A113" s="0" t="s">
        <v>264</v>
      </c>
      <c r="B113" s="0" t="s">
        <v>1263</v>
      </c>
      <c r="C113" s="0" t="s">
        <v>1178</v>
      </c>
      <c r="D113" s="0" t="s">
        <v>1167</v>
      </c>
    </row>
    <row r="114" customFormat="false" ht="15" hidden="false" customHeight="false" outlineLevel="0" collapsed="false">
      <c r="A114" s="0" t="s">
        <v>397</v>
      </c>
      <c r="B114" s="0" t="s">
        <v>1264</v>
      </c>
      <c r="C114" s="0" t="s">
        <v>1166</v>
      </c>
      <c r="D114" s="0" t="s">
        <v>1164</v>
      </c>
    </row>
    <row r="115" customFormat="false" ht="15" hidden="false" customHeight="false" outlineLevel="0" collapsed="false">
      <c r="A115" s="0" t="s">
        <v>231</v>
      </c>
      <c r="B115" s="0" t="s">
        <v>1255</v>
      </c>
      <c r="C115" s="0" t="s">
        <v>1186</v>
      </c>
      <c r="D115" s="0" t="s">
        <v>1164</v>
      </c>
    </row>
    <row r="116" customFormat="false" ht="15" hidden="false" customHeight="false" outlineLevel="0" collapsed="false">
      <c r="A116" s="0" t="s">
        <v>400</v>
      </c>
      <c r="B116" s="0" t="s">
        <v>1225</v>
      </c>
      <c r="C116" s="0" t="s">
        <v>1180</v>
      </c>
      <c r="D116" s="0" t="s">
        <v>1164</v>
      </c>
    </row>
    <row r="117" customFormat="false" ht="15" hidden="false" customHeight="false" outlineLevel="0" collapsed="false">
      <c r="A117" s="0" t="s">
        <v>94</v>
      </c>
      <c r="B117" s="0" t="s">
        <v>1265</v>
      </c>
      <c r="C117" s="0" t="s">
        <v>1188</v>
      </c>
      <c r="D117" s="0" t="s">
        <v>1172</v>
      </c>
    </row>
    <row r="118" customFormat="false" ht="15" hidden="false" customHeight="false" outlineLevel="0" collapsed="false">
      <c r="A118" s="0" t="s">
        <v>280</v>
      </c>
      <c r="B118" s="0" t="s">
        <v>1230</v>
      </c>
      <c r="C118" s="0" t="s">
        <v>1178</v>
      </c>
      <c r="D118" s="0" t="s">
        <v>1172</v>
      </c>
    </row>
    <row r="119" customFormat="false" ht="15" hidden="false" customHeight="false" outlineLevel="0" collapsed="false">
      <c r="A119" s="0" t="s">
        <v>79</v>
      </c>
      <c r="B119" s="0" t="s">
        <v>1266</v>
      </c>
      <c r="C119" s="0" t="s">
        <v>1174</v>
      </c>
      <c r="D119" s="0" t="s">
        <v>1164</v>
      </c>
    </row>
    <row r="120" customFormat="false" ht="15" hidden="false" customHeight="false" outlineLevel="0" collapsed="false">
      <c r="A120" s="0" t="s">
        <v>110</v>
      </c>
      <c r="B120" s="0" t="s">
        <v>1267</v>
      </c>
      <c r="C120" s="0" t="s">
        <v>1186</v>
      </c>
      <c r="D120" s="0" t="s">
        <v>1164</v>
      </c>
    </row>
    <row r="121" customFormat="false" ht="15" hidden="false" customHeight="false" outlineLevel="0" collapsed="false">
      <c r="A121" s="0" t="s">
        <v>249</v>
      </c>
      <c r="B121" s="0" t="s">
        <v>1268</v>
      </c>
      <c r="C121" s="0" t="s">
        <v>1184</v>
      </c>
      <c r="D121" s="0" t="s">
        <v>1164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2026-10-12T02:17:05Z</dcterms:created>
  <dc:creator>openpyxl</dc:creator>
  <dc:description/>
  <dc:language>en-US</dc:language>
  <cp:lastModifiedBy/>
  <dcterms:modified xsi:type="dcterms:W3CDTF">2026-10-12T02:21:50Z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